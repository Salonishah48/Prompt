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15 Return" sheetId="1" state="visible" r:id="rId1"/>
    <sheet name="Line-by-Line Working" sheetId="2" state="visible" r:id="rId2"/>
    <sheet name="Methodology" sheetId="3" state="visible" r:id="rId3"/>
  </sheets>
  <definedNames/>
  <calcPr calcId="124519" fullCalcOnLoad="1"/>
</workbook>
</file>

<file path=xl/styles.xml><?xml version="1.0" encoding="utf-8"?>
<styleSheet xmlns="http://schemas.openxmlformats.org/spreadsheetml/2006/main">
  <numFmts count="1">
    <numFmt numFmtId="164" formatCode="&quot;$&quot;#,##0.00"/>
  </numFmts>
  <fonts count="11">
    <font>
      <name val="Calibri"/>
      <family val="2"/>
      <color theme="1"/>
      <sz val="11"/>
      <scheme val="minor"/>
    </font>
    <font>
      <b val="1"/>
      <color rgb="00FFFFFF"/>
      <sz val="14"/>
    </font>
    <font>
      <b val="1"/>
    </font>
    <font>
      <b val="1"/>
      <color rgb="00FFFFFF"/>
    </font>
    <font>
      <b val="1"/>
      <color rgb="00C00000"/>
    </font>
    <font>
      <b val="1"/>
      <color rgb="001F4E78"/>
    </font>
    <font>
      <b val="1"/>
      <color rgb="00FFFFFF"/>
      <sz val="13"/>
    </font>
    <font>
      <i val="1"/>
      <color rgb="00666666"/>
    </font>
    <font>
      <b val="1"/>
      <color rgb="001F4E78"/>
      <sz val="14"/>
    </font>
    <font>
      <b val="1"/>
      <color rgb="001F4E78"/>
      <sz val="11"/>
    </font>
    <font>
      <name val="Consolas"/>
      <sz val="10"/>
    </font>
  </fonts>
  <fills count="5">
    <fill>
      <patternFill/>
    </fill>
    <fill>
      <patternFill patternType="gray125"/>
    </fill>
    <fill>
      <patternFill patternType="solid">
        <fgColor rgb="001F4E78"/>
      </patternFill>
    </fill>
    <fill>
      <patternFill patternType="solid">
        <fgColor rgb="00FFF2CC"/>
      </patternFill>
    </fill>
    <fill>
      <patternFill patternType="solid">
        <fgColor rgb="00FFD6D6"/>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23">
    <xf numFmtId="0" fontId="0" fillId="0" borderId="0" pivotButton="0" quotePrefix="0" xfId="0"/>
    <xf numFmtId="0" fontId="1" fillId="2" borderId="0" pivotButton="0" quotePrefix="0" xfId="0"/>
    <xf numFmtId="0" fontId="2" fillId="0" borderId="0" pivotButton="0" quotePrefix="0" xfId="0"/>
    <xf numFmtId="0" fontId="3" fillId="2" borderId="1" applyAlignment="1" pivotButton="0" quotePrefix="0" xfId="0">
      <alignment horizontal="center"/>
    </xf>
    <xf numFmtId="0" fontId="2" fillId="0" borderId="1" pivotButton="0" quotePrefix="0" xfId="0"/>
    <xf numFmtId="164" fontId="0" fillId="0" borderId="1" applyAlignment="1" pivotButton="0" quotePrefix="0" xfId="0">
      <alignment horizontal="right"/>
    </xf>
    <xf numFmtId="0" fontId="2" fillId="3" borderId="0" pivotButton="0" quotePrefix="0" xfId="0"/>
    <xf numFmtId="0" fontId="0" fillId="3" borderId="0" pivotButton="0" quotePrefix="0" xfId="0"/>
    <xf numFmtId="164" fontId="0" fillId="3" borderId="1" applyAlignment="1" pivotButton="0" quotePrefix="0" xfId="0">
      <alignment horizontal="right"/>
    </xf>
    <xf numFmtId="164" fontId="0" fillId="0" borderId="0" applyAlignment="1" pivotButton="0" quotePrefix="0" xfId="0">
      <alignment horizontal="right"/>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2" borderId="0" applyAlignment="1" pivotButton="0" quotePrefix="0" xfId="0">
      <alignment horizontal="center"/>
    </xf>
    <xf numFmtId="0" fontId="7" fillId="0" borderId="0" applyAlignment="1" pivotButton="0" quotePrefix="0" xfId="0">
      <alignment vertical="top" wrapText="1"/>
    </xf>
    <xf numFmtId="0" fontId="3" fillId="2" borderId="1" applyAlignment="1" pivotButton="0" quotePrefix="0" xfId="0">
      <alignment horizontal="center" wrapText="1"/>
    </xf>
    <xf numFmtId="164" fontId="0" fillId="0" borderId="0" pivotButton="0" quotePrefix="0" xfId="0"/>
    <xf numFmtId="10" fontId="0" fillId="0" borderId="0" pivotButton="0" quotePrefix="0" xfId="0"/>
    <xf numFmtId="164" fontId="0" fillId="4" borderId="0" pivotButton="0" quotePrefix="0" xfId="0"/>
    <xf numFmtId="164" fontId="2" fillId="3"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50" customWidth="1" min="1" max="1"/>
    <col width="18" customWidth="1" min="2" max="2"/>
    <col width="18" customWidth="1" min="3" max="3"/>
    <col width="18" customWidth="1" min="4" max="4"/>
    <col width="18" customWidth="1" min="5" max="5"/>
  </cols>
  <sheetData>
    <row r="1">
      <c r="A1" s="1" t="inlineStr">
        <is>
          <t>FLORIDA DR-15 SALES AND USE TAX RETURN</t>
        </is>
      </c>
    </row>
    <row r="2">
      <c r="A2" s="2" t="inlineStr">
        <is>
          <t>Business Name</t>
        </is>
      </c>
      <c r="B2" t="inlineStr">
        <is>
          <t>Your Business Name LLC</t>
        </is>
      </c>
    </row>
    <row r="3">
      <c r="A3" s="2" t="inlineStr">
        <is>
          <t>Certificate Number</t>
        </is>
      </c>
      <c r="B3" t="inlineStr">
        <is>
          <t>00-0000000000-0</t>
        </is>
      </c>
    </row>
    <row r="4">
      <c r="A4" s="2" t="inlineStr">
        <is>
          <t>FEIN</t>
        </is>
      </c>
      <c r="B4" t="inlineStr">
        <is>
          <t>00-0000000</t>
        </is>
      </c>
    </row>
    <row r="5">
      <c r="A5" s="2" t="inlineStr">
        <is>
          <t>Address</t>
        </is>
      </c>
      <c r="B5" t="inlineStr">
        <is>
          <t>211 Rayburn Rd, Plant City, FL 33566</t>
        </is>
      </c>
    </row>
    <row r="6">
      <c r="A6" s="2" t="inlineStr">
        <is>
          <t>County</t>
        </is>
      </c>
      <c r="B6" t="inlineStr">
        <is>
          <t>Hillsborough</t>
        </is>
      </c>
    </row>
    <row r="7">
      <c r="A7" s="2" t="inlineStr">
        <is>
          <t>Reporting Period</t>
        </is>
      </c>
      <c r="B7" t="inlineStr">
        <is>
          <t>2026-03</t>
        </is>
      </c>
    </row>
    <row r="8">
      <c r="A8" s="2" t="inlineStr">
        <is>
          <t>Surtax Rate</t>
        </is>
      </c>
      <c r="B8" t="inlineStr">
        <is>
          <t>1.50%</t>
        </is>
      </c>
    </row>
    <row r="9">
      <c r="A9" s="2" t="inlineStr"/>
      <c r="B9" t="inlineStr"/>
    </row>
    <row r="10">
      <c r="A10" s="3" t="inlineStr"/>
      <c r="B10" s="3" t="inlineStr">
        <is>
          <t>Col 1 Gross Sales</t>
        </is>
      </c>
      <c r="C10" s="3" t="inlineStr">
        <is>
          <t>Col 2 Exempt</t>
        </is>
      </c>
      <c r="D10" s="3" t="inlineStr">
        <is>
          <t>Col 3 Taxable</t>
        </is>
      </c>
      <c r="E10" s="3" t="inlineStr">
        <is>
          <t>Col 4 Tax Due</t>
        </is>
      </c>
    </row>
    <row r="11">
      <c r="A11" s="4" t="inlineStr">
        <is>
          <t>A. Sales/Services/Electricity</t>
        </is>
      </c>
      <c r="B11" s="5" t="n">
        <v>91888.71000000001</v>
      </c>
      <c r="C11" s="5" t="n">
        <v>11341.59</v>
      </c>
      <c r="D11" s="5" t="n">
        <v>80547.12</v>
      </c>
      <c r="E11" s="5" t="n">
        <v>5861.14</v>
      </c>
    </row>
    <row r="12">
      <c r="A12" s="4" t="inlineStr">
        <is>
          <t>B. Taxable Purchases (Use Tax)</t>
        </is>
      </c>
      <c r="B12" s="5" t="n">
        <v>0</v>
      </c>
      <c r="C12" s="5" t="n">
        <v>0</v>
      </c>
      <c r="D12" s="5" t="n">
        <v>0</v>
      </c>
      <c r="E12" s="5" t="n">
        <v>0</v>
      </c>
    </row>
    <row r="13">
      <c r="A13" s="4" t="inlineStr">
        <is>
          <t>C. Commercial Rentals (repealed 10/1/25)</t>
        </is>
      </c>
      <c r="B13" s="5" t="n">
        <v>0</v>
      </c>
      <c r="C13" s="5" t="n">
        <v>0</v>
      </c>
      <c r="D13" s="5" t="n">
        <v>0</v>
      </c>
      <c r="E13" s="5" t="n">
        <v>0</v>
      </c>
    </row>
    <row r="14">
      <c r="A14" s="4" t="inlineStr">
        <is>
          <t>D. Transient Rentals</t>
        </is>
      </c>
      <c r="B14" s="5" t="n">
        <v>0</v>
      </c>
      <c r="C14" s="5" t="n">
        <v>0</v>
      </c>
      <c r="D14" s="5" t="n">
        <v>0</v>
      </c>
      <c r="E14" s="5" t="n">
        <v>0</v>
      </c>
    </row>
    <row r="15">
      <c r="A15" s="4" t="inlineStr">
        <is>
          <t>E. Food &amp; Beverage Vending</t>
        </is>
      </c>
      <c r="B15" s="5" t="n">
        <v>0</v>
      </c>
      <c r="C15" s="5" t="n">
        <v>0</v>
      </c>
      <c r="D15" s="5" t="n">
        <v>0</v>
      </c>
      <c r="E15" s="5" t="n">
        <v>0</v>
      </c>
    </row>
    <row r="17">
      <c r="A17" s="6" t="inlineStr">
        <is>
          <t>5. Total Amount of Tax Due</t>
        </is>
      </c>
      <c r="B17" s="7" t="n"/>
      <c r="C17" s="7" t="n"/>
      <c r="D17" s="7" t="n"/>
      <c r="E17" s="8" t="n">
        <v>5861.14</v>
      </c>
    </row>
    <row r="18">
      <c r="A18" s="2" t="inlineStr">
        <is>
          <t>6. Less Lawful Deductions</t>
        </is>
      </c>
      <c r="E18" s="5" t="n">
        <v>0</v>
      </c>
    </row>
    <row r="19">
      <c r="A19" s="6" t="inlineStr">
        <is>
          <t>7. Net Tax Due</t>
        </is>
      </c>
      <c r="B19" s="7" t="n"/>
      <c r="C19" s="7" t="n"/>
      <c r="D19" s="7" t="n"/>
      <c r="E19" s="8" t="n">
        <v>5861.14</v>
      </c>
    </row>
    <row r="20">
      <c r="A20" s="2" t="inlineStr">
        <is>
          <t>8. Less Est Tax Paid / DOR Credit Memo</t>
        </is>
      </c>
      <c r="E20" s="5" t="n">
        <v>0</v>
      </c>
    </row>
    <row r="21">
      <c r="A21" s="2" t="inlineStr">
        <is>
          <t>9. Plus Est Tax Due Current Month</t>
        </is>
      </c>
      <c r="E21" s="5" t="n">
        <v>0</v>
      </c>
    </row>
    <row r="22">
      <c r="A22" s="6" t="inlineStr">
        <is>
          <t>10. Amount Due</t>
        </is>
      </c>
      <c r="B22" s="7" t="n"/>
      <c r="C22" s="7" t="n"/>
      <c r="D22" s="7" t="n"/>
      <c r="E22" s="8" t="n">
        <v>5861.14</v>
      </c>
    </row>
    <row r="23">
      <c r="A23" s="2" t="inlineStr">
        <is>
          <t>11. Less Collection Allowance</t>
        </is>
      </c>
      <c r="E23" s="5" t="n">
        <v>30</v>
      </c>
    </row>
    <row r="24">
      <c r="A24" s="2" t="inlineStr">
        <is>
          <t>12. Plus Penalty</t>
        </is>
      </c>
      <c r="E24" s="5" t="n">
        <v>0</v>
      </c>
    </row>
    <row r="25">
      <c r="A25" s="2" t="inlineStr">
        <is>
          <t>13. Plus Interest</t>
        </is>
      </c>
      <c r="E25" s="5" t="n">
        <v>0</v>
      </c>
    </row>
    <row r="26">
      <c r="A26" s="6" t="inlineStr">
        <is>
          <t>14. AMOUNT DUE WITH RETURN</t>
        </is>
      </c>
      <c r="B26" s="7" t="n"/>
      <c r="C26" s="7" t="n"/>
      <c r="D26" s="7" t="n"/>
      <c r="E26" s="8" t="n">
        <v>5831.14</v>
      </c>
    </row>
    <row r="28">
      <c r="A28" s="2" t="inlineStr">
        <is>
          <t>DISCRETIONARY SALES SURTAX</t>
        </is>
      </c>
    </row>
    <row r="29">
      <c r="A29" t="inlineStr">
        <is>
          <t>15(a). Exempt Amount of Items Over $5,000</t>
        </is>
      </c>
      <c r="E29" s="9" t="n">
        <v>7333.19</v>
      </c>
    </row>
    <row r="30">
      <c r="A30" t="inlineStr">
        <is>
          <t>15(b). Other Taxable Amounts NOT Subject to Surtax</t>
        </is>
      </c>
      <c r="E30" s="9" t="n">
        <v>0</v>
      </c>
    </row>
    <row r="31">
      <c r="A31" t="inlineStr">
        <is>
          <t>15(c). Amounts Subject to Surtax at Different Rate</t>
        </is>
      </c>
      <c r="E31" s="9" t="n">
        <v>12584.59</v>
      </c>
    </row>
    <row r="32">
      <c r="A32" t="inlineStr">
        <is>
          <t>15(d). Total Discretionary Sales Surtax Due</t>
        </is>
      </c>
      <c r="E32" s="9" t="n">
        <v>1028.31</v>
      </c>
    </row>
    <row r="35">
      <c r="A35" s="10" t="inlineStr">
        <is>
          <t>NOTES / WARNINGS</t>
        </is>
      </c>
    </row>
    <row r="36">
      <c r="A36" t="inlineStr">
        <is>
          <t>- Under-collection detected: Shopify collected $4702.12 but $5861.14 is owed ($1159.02 short). You must remit the full calculated amount and absorb the shortfall. Check that Shopify is configured to charge the county surtax.</t>
        </is>
      </c>
    </row>
    <row r="39">
      <c r="A39" s="11" t="inlineStr">
        <is>
          <t>FOR REVIEWERS / AUDITORS</t>
        </is>
      </c>
    </row>
    <row r="40" ht="30" customHeight="1">
      <c r="A40" s="12" t="inlineStr">
        <is>
          <t>• Every Line A total above is derived from the 'Line-by-Line Working' sheet — see the TOTALS row at the bottom of that sheet.</t>
        </is>
      </c>
    </row>
    <row r="41" ht="30" customHeight="1">
      <c r="A41" s="12" t="inlineStr">
        <is>
          <t>• Each transaction's tax computation is shown individually with rates, surtax base (showing when the $5k cap was applied), and the per-row gap between calculated and Shopify-collected tax.</t>
        </is>
      </c>
    </row>
    <row r="42" ht="30" customHeight="1">
      <c r="A42" s="12" t="inlineStr">
        <is>
          <t>• The 'Methodology' sheet documents every formula and decision rule used to produce these numbers.</t>
        </is>
      </c>
    </row>
  </sheetData>
  <mergeCells count="5">
    <mergeCell ref="A42:E42"/>
    <mergeCell ref="A41:E41"/>
    <mergeCell ref="A1:E1"/>
    <mergeCell ref="A36:E36"/>
    <mergeCell ref="A40:E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87"/>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10" customWidth="1" min="3" max="3"/>
    <col width="14" customWidth="1" min="4" max="4"/>
    <col width="12" customWidth="1" min="5" max="5"/>
    <col width="12" customWidth="1" min="6" max="6"/>
    <col width="14" customWidth="1" min="7" max="7"/>
    <col width="14" customWidth="1" min="8" max="8"/>
    <col width="14" customWidth="1" min="9" max="9"/>
    <col width="10" customWidth="1" min="10" max="10"/>
    <col width="12" customWidth="1" min="11" max="11"/>
    <col width="10" customWidth="1" min="12" max="12"/>
    <col width="12" customWidth="1" min="13" max="13"/>
    <col width="12" customWidth="1" min="14" max="14"/>
    <col width="12" customWidth="1" min="15" max="15"/>
    <col width="14" customWidth="1" min="16" max="16"/>
    <col width="12" customWidth="1" min="17" max="17"/>
    <col width="14" customWidth="1" min="18" max="18"/>
  </cols>
  <sheetData>
    <row r="1">
      <c r="A1" s="13" t="inlineStr">
        <is>
          <t>LINE-BY-LINE TAX CALCULATION — AUDIT TRAIL</t>
        </is>
      </c>
    </row>
    <row r="2" ht="30" customHeight="1">
      <c r="A2" s="14" t="inlineStr">
        <is>
          <t>Each row = one Shopify line item (after merging Shopify's State+County jurisdiction splits). Columns show both what Shopify charged and what Florida law requires, with the gap for each transaction.</t>
        </is>
      </c>
    </row>
    <row r="4" ht="30" customHeight="1">
      <c r="A4" s="15" t="inlineStr">
        <is>
          <t>#</t>
        </is>
      </c>
      <c r="B4" s="15" t="inlineStr">
        <is>
          <t>Date</t>
        </is>
      </c>
      <c r="C4" s="15" t="inlineStr">
        <is>
          <t>Order #</t>
        </is>
      </c>
      <c r="D4" s="15" t="inlineStr">
        <is>
          <t>Channel</t>
        </is>
      </c>
      <c r="E4" s="15" t="inlineStr">
        <is>
          <t>Col 1 Gross</t>
        </is>
      </c>
      <c r="F4" s="15" t="inlineStr">
        <is>
          <t>Col 3 Taxable</t>
        </is>
      </c>
      <c r="G4" s="15" t="inlineStr">
        <is>
          <t>Exempt (Col1-Col3)</t>
        </is>
      </c>
      <c r="H4" s="15" t="inlineStr">
        <is>
          <t>Dest City</t>
        </is>
      </c>
      <c r="I4" s="15" t="inlineStr">
        <is>
          <t>County</t>
        </is>
      </c>
      <c r="J4" s="15" t="inlineStr">
        <is>
          <t>State Rate</t>
        </is>
      </c>
      <c r="K4" s="15" t="inlineStr">
        <is>
          <t>State Tax (calc)</t>
        </is>
      </c>
      <c r="L4" s="15" t="inlineStr">
        <is>
          <t>Surtax Rate</t>
        </is>
      </c>
      <c r="M4" s="15" t="inlineStr">
        <is>
          <t>Surtax Base</t>
        </is>
      </c>
      <c r="N4" s="15" t="inlineStr">
        <is>
          <t>Surtax (calc)</t>
        </is>
      </c>
      <c r="O4" s="15" t="inlineStr">
        <is>
          <t>$5k Cap Applied?</t>
        </is>
      </c>
      <c r="P4" s="15" t="inlineStr">
        <is>
          <t>Total Tax (calc)</t>
        </is>
      </c>
      <c r="Q4" s="15" t="inlineStr">
        <is>
          <t>Shopify Tax</t>
        </is>
      </c>
      <c r="R4" s="15" t="inlineStr">
        <is>
          <t>Gap (calc - Shopify)</t>
        </is>
      </c>
    </row>
    <row r="5">
      <c r="A5" t="n">
        <v>1</v>
      </c>
      <c r="B5" t="inlineStr">
        <is>
          <t>2026-03-02</t>
        </is>
      </c>
      <c r="C5" t="inlineStr">
        <is>
          <t>#1340</t>
        </is>
      </c>
      <c r="D5" t="inlineStr">
        <is>
          <t>Draft Orders</t>
        </is>
      </c>
      <c r="E5" s="16" t="n">
        <v>350</v>
      </c>
      <c r="F5" s="16" t="n">
        <v>350</v>
      </c>
      <c r="G5" s="16" t="n">
        <v>0</v>
      </c>
      <c r="H5" t="inlineStr">
        <is>
          <t>Plant City</t>
        </is>
      </c>
      <c r="I5" t="inlineStr">
        <is>
          <t>Hillsborough</t>
        </is>
      </c>
      <c r="J5" s="17" t="n">
        <v>0.06</v>
      </c>
      <c r="K5" s="16" t="n">
        <v>21</v>
      </c>
      <c r="L5" s="17" t="n">
        <v>0.015</v>
      </c>
      <c r="M5" s="16" t="n">
        <v>350</v>
      </c>
      <c r="N5" s="16" t="n">
        <v>5.25</v>
      </c>
      <c r="O5" t="inlineStr">
        <is>
          <t>No</t>
        </is>
      </c>
      <c r="P5" s="16" t="n">
        <v>26.25</v>
      </c>
      <c r="Q5" s="16" t="n">
        <v>26.25</v>
      </c>
      <c r="R5" s="16" t="n">
        <v>0</v>
      </c>
    </row>
    <row r="6">
      <c r="A6" t="n">
        <v>2</v>
      </c>
      <c r="B6" t="inlineStr">
        <is>
          <t>2026-03-02</t>
        </is>
      </c>
      <c r="C6" t="inlineStr">
        <is>
          <t>#1341</t>
        </is>
      </c>
      <c r="D6" t="inlineStr">
        <is>
          <t>Draft Orders</t>
        </is>
      </c>
      <c r="E6" s="16" t="n">
        <v>238</v>
      </c>
      <c r="F6" s="16" t="n">
        <v>238</v>
      </c>
      <c r="G6" s="16" t="n">
        <v>0</v>
      </c>
      <c r="H6" t="inlineStr">
        <is>
          <t>Plant City</t>
        </is>
      </c>
      <c r="I6" t="inlineStr">
        <is>
          <t>Hillsborough</t>
        </is>
      </c>
      <c r="J6" s="17" t="n">
        <v>0.06</v>
      </c>
      <c r="K6" s="16" t="n">
        <v>14.28</v>
      </c>
      <c r="L6" s="17" t="n">
        <v>0.015</v>
      </c>
      <c r="M6" s="16" t="n">
        <v>238</v>
      </c>
      <c r="N6" s="16" t="n">
        <v>3.57</v>
      </c>
      <c r="O6" t="inlineStr">
        <is>
          <t>No</t>
        </is>
      </c>
      <c r="P6" s="16" t="n">
        <v>17.85</v>
      </c>
      <c r="Q6" s="16" t="n">
        <v>17.85</v>
      </c>
      <c r="R6" s="16" t="n">
        <v>2e-15</v>
      </c>
    </row>
    <row r="7">
      <c r="A7" t="n">
        <v>3</v>
      </c>
      <c r="B7" t="inlineStr">
        <is>
          <t>2026-03-02</t>
        </is>
      </c>
      <c r="C7" t="inlineStr">
        <is>
          <t>#1340</t>
        </is>
      </c>
      <c r="D7" t="inlineStr">
        <is>
          <t>Draft Orders</t>
        </is>
      </c>
      <c r="E7" s="16" t="n">
        <v>350</v>
      </c>
      <c r="F7" s="16" t="n">
        <v>350</v>
      </c>
      <c r="G7" s="16" t="n">
        <v>0</v>
      </c>
      <c r="H7" t="inlineStr">
        <is>
          <t>Plant City</t>
        </is>
      </c>
      <c r="I7" t="inlineStr">
        <is>
          <t>Hillsborough</t>
        </is>
      </c>
      <c r="J7" s="17" t="n">
        <v>0.06</v>
      </c>
      <c r="K7" s="16" t="n">
        <v>21</v>
      </c>
      <c r="L7" s="17" t="n">
        <v>0.015</v>
      </c>
      <c r="M7" s="16" t="n">
        <v>350</v>
      </c>
      <c r="N7" s="16" t="n">
        <v>5.25</v>
      </c>
      <c r="O7" t="inlineStr">
        <is>
          <t>No</t>
        </is>
      </c>
      <c r="P7" s="16" t="n">
        <v>26.25</v>
      </c>
      <c r="Q7" s="16" t="n">
        <v>26.25</v>
      </c>
      <c r="R7" s="16" t="n">
        <v>0</v>
      </c>
    </row>
    <row r="8">
      <c r="A8" t="n">
        <v>4</v>
      </c>
      <c r="B8" t="inlineStr">
        <is>
          <t>2026-03-03</t>
        </is>
      </c>
      <c r="C8" t="inlineStr">
        <is>
          <t>#1344</t>
        </is>
      </c>
      <c r="D8" t="inlineStr">
        <is>
          <t>Draft Orders</t>
        </is>
      </c>
      <c r="E8" s="16" t="n">
        <v>0</v>
      </c>
      <c r="F8" s="16" t="n">
        <v>50</v>
      </c>
      <c r="G8" s="16" t="n">
        <v>-50</v>
      </c>
      <c r="H8" t="inlineStr">
        <is>
          <t>Tampa</t>
        </is>
      </c>
      <c r="I8" t="inlineStr">
        <is>
          <t>Hillsborough</t>
        </is>
      </c>
      <c r="J8" s="17" t="n">
        <v>0.06</v>
      </c>
      <c r="K8" s="16" t="n">
        <v>3</v>
      </c>
      <c r="L8" s="17" t="n">
        <v>0.015</v>
      </c>
      <c r="M8" s="16" t="n">
        <v>50</v>
      </c>
      <c r="N8" s="16" t="n">
        <v>0.75</v>
      </c>
      <c r="O8" t="inlineStr">
        <is>
          <t>No</t>
        </is>
      </c>
      <c r="P8" s="16" t="n">
        <v>3.75</v>
      </c>
      <c r="Q8" s="16" t="n">
        <v>3.75</v>
      </c>
      <c r="R8" s="16" t="n">
        <v>0</v>
      </c>
    </row>
    <row r="9">
      <c r="A9" t="n">
        <v>5</v>
      </c>
      <c r="B9" t="inlineStr">
        <is>
          <t>2026-03-03</t>
        </is>
      </c>
      <c r="C9" t="inlineStr">
        <is>
          <t>#1342</t>
        </is>
      </c>
      <c r="D9" t="inlineStr">
        <is>
          <t>Draft Orders</t>
        </is>
      </c>
      <c r="E9" s="16" t="n">
        <v>432.36</v>
      </c>
      <c r="F9" s="16" t="n">
        <v>432.36</v>
      </c>
      <c r="G9" s="16" t="n">
        <v>0</v>
      </c>
      <c r="H9" t="inlineStr">
        <is>
          <t>Plant City</t>
        </is>
      </c>
      <c r="I9" t="inlineStr">
        <is>
          <t>Hillsborough</t>
        </is>
      </c>
      <c r="J9" s="17" t="n">
        <v>0.06</v>
      </c>
      <c r="K9" s="16" t="n">
        <v>25.94</v>
      </c>
      <c r="L9" s="17" t="n">
        <v>0.015</v>
      </c>
      <c r="M9" s="16" t="n">
        <v>432.36</v>
      </c>
      <c r="N9" s="16" t="n">
        <v>6.49</v>
      </c>
      <c r="O9" t="inlineStr">
        <is>
          <t>No</t>
        </is>
      </c>
      <c r="P9" s="16" t="n">
        <v>32.43</v>
      </c>
      <c r="Q9" s="16" t="n">
        <v>32.43</v>
      </c>
      <c r="R9" s="16" t="n">
        <v>0</v>
      </c>
    </row>
    <row r="10">
      <c r="A10" t="n">
        <v>6</v>
      </c>
      <c r="B10" t="inlineStr">
        <is>
          <t>2026-03-03</t>
        </is>
      </c>
      <c r="C10" t="inlineStr">
        <is>
          <t>#1343</t>
        </is>
      </c>
      <c r="D10" t="inlineStr">
        <is>
          <t>Draft Orders</t>
        </is>
      </c>
      <c r="E10" s="16" t="n">
        <v>5943.68</v>
      </c>
      <c r="F10" s="16" t="n">
        <v>5000</v>
      </c>
      <c r="G10" s="16" t="n">
        <v>943.6800000000003</v>
      </c>
      <c r="H10" t="inlineStr">
        <is>
          <t>Plant City</t>
        </is>
      </c>
      <c r="I10" t="inlineStr">
        <is>
          <t>Hillsborough</t>
        </is>
      </c>
      <c r="J10" s="17" t="n">
        <v>0.06</v>
      </c>
      <c r="K10" s="16" t="n">
        <v>300</v>
      </c>
      <c r="L10" s="17" t="n">
        <v>0.015</v>
      </c>
      <c r="M10" s="16" t="n">
        <v>5000</v>
      </c>
      <c r="N10" s="16" t="n">
        <v>75</v>
      </c>
      <c r="O10" t="inlineStr">
        <is>
          <t>No</t>
        </is>
      </c>
      <c r="P10" s="16" t="n">
        <v>375</v>
      </c>
      <c r="Q10" s="16" t="n">
        <v>75</v>
      </c>
      <c r="R10" s="18" t="n">
        <v>300</v>
      </c>
    </row>
    <row r="11">
      <c r="A11" t="n">
        <v>7</v>
      </c>
      <c r="B11" t="inlineStr">
        <is>
          <t>2026-03-03</t>
        </is>
      </c>
      <c r="C11" t="inlineStr">
        <is>
          <t>#1344</t>
        </is>
      </c>
      <c r="D11" t="inlineStr">
        <is>
          <t>Draft Orders</t>
        </is>
      </c>
      <c r="E11" s="16" t="n">
        <v>1962.36</v>
      </c>
      <c r="F11" s="16" t="n">
        <v>1962.36</v>
      </c>
      <c r="G11" s="16" t="n">
        <v>0</v>
      </c>
      <c r="H11" t="inlineStr">
        <is>
          <t>Tampa</t>
        </is>
      </c>
      <c r="I11" t="inlineStr">
        <is>
          <t>Hillsborough</t>
        </is>
      </c>
      <c r="J11" s="17" t="n">
        <v>0.06</v>
      </c>
      <c r="K11" s="16" t="n">
        <v>117.74</v>
      </c>
      <c r="L11" s="17" t="n">
        <v>0.015</v>
      </c>
      <c r="M11" s="16" t="n">
        <v>1962.36</v>
      </c>
      <c r="N11" s="16" t="n">
        <v>29.44</v>
      </c>
      <c r="O11" t="inlineStr">
        <is>
          <t>No</t>
        </is>
      </c>
      <c r="P11" s="16" t="n">
        <v>147.18</v>
      </c>
      <c r="Q11" s="16" t="n">
        <v>147.18</v>
      </c>
      <c r="R11" s="16" t="n">
        <v>0</v>
      </c>
    </row>
    <row r="12">
      <c r="A12" t="n">
        <v>8</v>
      </c>
      <c r="B12" t="inlineStr">
        <is>
          <t>2026-03-03</t>
        </is>
      </c>
      <c r="C12" t="inlineStr">
        <is>
          <t>#1343</t>
        </is>
      </c>
      <c r="D12" t="inlineStr">
        <is>
          <t>Draft Orders</t>
        </is>
      </c>
      <c r="E12" s="16" t="n">
        <v>5943.68</v>
      </c>
      <c r="F12" s="16" t="n">
        <v>5943.68</v>
      </c>
      <c r="G12" s="16" t="n">
        <v>0</v>
      </c>
      <c r="H12" t="inlineStr">
        <is>
          <t>Plant City</t>
        </is>
      </c>
      <c r="I12" t="inlineStr">
        <is>
          <t>Hillsborough</t>
        </is>
      </c>
      <c r="J12" s="17" t="n">
        <v>0.06</v>
      </c>
      <c r="K12" s="16" t="n">
        <v>356.62</v>
      </c>
      <c r="L12" s="17" t="n">
        <v>0.015</v>
      </c>
      <c r="M12" s="16" t="n">
        <v>5000</v>
      </c>
      <c r="N12" s="16" t="n">
        <v>75</v>
      </c>
      <c r="O12" t="inlineStr">
        <is>
          <t>Yes</t>
        </is>
      </c>
      <c r="P12" s="16" t="n">
        <v>431.62</v>
      </c>
      <c r="Q12" s="16" t="n">
        <v>356.62</v>
      </c>
      <c r="R12" s="18" t="n">
        <v>75</v>
      </c>
    </row>
    <row r="13">
      <c r="A13" t="n">
        <v>9</v>
      </c>
      <c r="B13" t="inlineStr">
        <is>
          <t>2026-03-04</t>
        </is>
      </c>
      <c r="C13" t="inlineStr">
        <is>
          <t>#1345</t>
        </is>
      </c>
      <c r="D13" t="inlineStr">
        <is>
          <t>Draft Orders</t>
        </is>
      </c>
      <c r="E13" s="16" t="n">
        <v>16</v>
      </c>
      <c r="F13" s="16" t="n">
        <v>15.2</v>
      </c>
      <c r="G13" s="16" t="n">
        <v>0.8000000000000007</v>
      </c>
      <c r="H13" t="inlineStr">
        <is>
          <t>Lacoochee</t>
        </is>
      </c>
      <c r="I13" t="inlineStr">
        <is>
          <t>Pasco</t>
        </is>
      </c>
      <c r="J13" s="17" t="n">
        <v>0.06</v>
      </c>
      <c r="K13" s="16" t="n">
        <v>0.91</v>
      </c>
      <c r="L13" s="17" t="n">
        <v>0.01</v>
      </c>
      <c r="M13" s="16" t="n">
        <v>15.2</v>
      </c>
      <c r="N13" s="16" t="n">
        <v>0.15</v>
      </c>
      <c r="O13" t="inlineStr">
        <is>
          <t>No</t>
        </is>
      </c>
      <c r="P13" s="16" t="n">
        <v>1.06</v>
      </c>
      <c r="Q13" s="16" t="n">
        <v>1.06</v>
      </c>
      <c r="R13" s="16" t="n">
        <v>0</v>
      </c>
    </row>
    <row r="14">
      <c r="A14" t="n">
        <v>10</v>
      </c>
      <c r="B14" t="inlineStr">
        <is>
          <t>2026-03-05</t>
        </is>
      </c>
      <c r="C14" t="inlineStr">
        <is>
          <t>#1346</t>
        </is>
      </c>
      <c r="D14" t="inlineStr">
        <is>
          <t>Draft Orders</t>
        </is>
      </c>
      <c r="E14" s="16" t="n">
        <v>50</v>
      </c>
      <c r="F14" s="16" t="n">
        <v>0</v>
      </c>
      <c r="G14" s="16" t="n">
        <v>50</v>
      </c>
      <c r="H14" t="inlineStr">
        <is>
          <t>Dover</t>
        </is>
      </c>
      <c r="I14" t="inlineStr">
        <is>
          <t>Hillsborough</t>
        </is>
      </c>
      <c r="J14" s="17" t="n">
        <v>0.06</v>
      </c>
      <c r="K14" s="16" t="n">
        <v>0</v>
      </c>
      <c r="L14" s="17" t="n">
        <v>0.015</v>
      </c>
      <c r="M14" s="16" t="n">
        <v>0</v>
      </c>
      <c r="N14" s="16" t="n">
        <v>0</v>
      </c>
      <c r="O14" t="inlineStr">
        <is>
          <t>No</t>
        </is>
      </c>
      <c r="P14" s="16" t="n">
        <v>0</v>
      </c>
      <c r="Q14" s="16" t="n">
        <v>0</v>
      </c>
      <c r="R14" s="16" t="n">
        <v>0</v>
      </c>
    </row>
    <row r="15">
      <c r="A15" t="n">
        <v>11</v>
      </c>
      <c r="B15" t="inlineStr">
        <is>
          <t>2026-03-06</t>
        </is>
      </c>
      <c r="C15" t="inlineStr">
        <is>
          <t>#1347</t>
        </is>
      </c>
      <c r="D15" t="inlineStr">
        <is>
          <t>Draft Orders</t>
        </is>
      </c>
      <c r="E15" s="16" t="n">
        <v>966.72</v>
      </c>
      <c r="F15" s="16" t="n">
        <v>966.72</v>
      </c>
      <c r="G15" s="16" t="n">
        <v>0</v>
      </c>
      <c r="H15" t="inlineStr">
        <is>
          <t>Plant City</t>
        </is>
      </c>
      <c r="I15" t="inlineStr">
        <is>
          <t>Hillsborough</t>
        </is>
      </c>
      <c r="J15" s="17" t="n">
        <v>0.06</v>
      </c>
      <c r="K15" s="16" t="n">
        <v>58</v>
      </c>
      <c r="L15" s="17" t="n">
        <v>0.015</v>
      </c>
      <c r="M15" s="16" t="n">
        <v>966.72</v>
      </c>
      <c r="N15" s="16" t="n">
        <v>14.5</v>
      </c>
      <c r="O15" t="inlineStr">
        <is>
          <t>No</t>
        </is>
      </c>
      <c r="P15" s="16" t="n">
        <v>72.5</v>
      </c>
      <c r="Q15" s="16" t="n">
        <v>72.5</v>
      </c>
      <c r="R15" s="16" t="n">
        <v>0</v>
      </c>
    </row>
    <row r="16">
      <c r="A16" t="n">
        <v>12</v>
      </c>
      <c r="B16" t="inlineStr">
        <is>
          <t>2026-03-07</t>
        </is>
      </c>
      <c r="C16" t="inlineStr">
        <is>
          <t>#1348</t>
        </is>
      </c>
      <c r="D16" t="inlineStr">
        <is>
          <t>Draft Orders</t>
        </is>
      </c>
      <c r="E16" s="16" t="n">
        <v>1200</v>
      </c>
      <c r="F16" s="16" t="n">
        <v>1140</v>
      </c>
      <c r="G16" s="16" t="n">
        <v>60</v>
      </c>
      <c r="H16" t="inlineStr">
        <is>
          <t>Plant City</t>
        </is>
      </c>
      <c r="I16" t="inlineStr">
        <is>
          <t>Hillsborough</t>
        </is>
      </c>
      <c r="J16" s="17" t="n">
        <v>0.06</v>
      </c>
      <c r="K16" s="16" t="n">
        <v>68.40000000000001</v>
      </c>
      <c r="L16" s="17" t="n">
        <v>0.015</v>
      </c>
      <c r="M16" s="16" t="n">
        <v>1140</v>
      </c>
      <c r="N16" s="16" t="n">
        <v>17.1</v>
      </c>
      <c r="O16" t="inlineStr">
        <is>
          <t>No</t>
        </is>
      </c>
      <c r="P16" s="16" t="n">
        <v>85.5</v>
      </c>
      <c r="Q16" s="16" t="n">
        <v>85.5</v>
      </c>
      <c r="R16" s="16" t="n">
        <v>0</v>
      </c>
    </row>
    <row r="17">
      <c r="A17" t="n">
        <v>13</v>
      </c>
      <c r="B17" t="inlineStr">
        <is>
          <t>2026-03-10</t>
        </is>
      </c>
      <c r="C17" t="inlineStr">
        <is>
          <t>#1350</t>
        </is>
      </c>
      <c r="D17" t="inlineStr">
        <is>
          <t>Point of Sale</t>
        </is>
      </c>
      <c r="E17" s="16" t="n">
        <v>1300</v>
      </c>
      <c r="F17" s="16" t="n">
        <v>1235</v>
      </c>
      <c r="G17" s="16" t="n">
        <v>65</v>
      </c>
      <c r="H17" t="inlineStr">
        <is>
          <t>Plant City</t>
        </is>
      </c>
      <c r="I17" t="inlineStr">
        <is>
          <t>Hillsborough</t>
        </is>
      </c>
      <c r="J17" s="17" t="n">
        <v>0.06</v>
      </c>
      <c r="K17" s="16" t="n">
        <v>74.09999999999999</v>
      </c>
      <c r="L17" s="17" t="n">
        <v>0.015</v>
      </c>
      <c r="M17" s="16" t="n">
        <v>1235</v>
      </c>
      <c r="N17" s="16" t="n">
        <v>18.53</v>
      </c>
      <c r="O17" t="inlineStr">
        <is>
          <t>No</t>
        </is>
      </c>
      <c r="P17" s="16" t="n">
        <v>92.63</v>
      </c>
      <c r="Q17" s="16" t="n">
        <v>92.63</v>
      </c>
      <c r="R17" s="16" t="n">
        <v>0</v>
      </c>
    </row>
    <row r="18">
      <c r="A18" t="n">
        <v>14</v>
      </c>
      <c r="B18" t="inlineStr">
        <is>
          <t>2026-03-10</t>
        </is>
      </c>
      <c r="C18" t="inlineStr">
        <is>
          <t>#1350</t>
        </is>
      </c>
      <c r="D18" t="inlineStr">
        <is>
          <t>Point of Sale</t>
        </is>
      </c>
      <c r="E18" s="16" t="n">
        <v>700</v>
      </c>
      <c r="F18" s="16" t="n">
        <v>665</v>
      </c>
      <c r="G18" s="16" t="n">
        <v>35</v>
      </c>
      <c r="H18" t="inlineStr">
        <is>
          <t>Plant City</t>
        </is>
      </c>
      <c r="I18" t="inlineStr">
        <is>
          <t>Hillsborough</t>
        </is>
      </c>
      <c r="J18" s="17" t="n">
        <v>0.06</v>
      </c>
      <c r="K18" s="16" t="n">
        <v>39.9</v>
      </c>
      <c r="L18" s="17" t="n">
        <v>0.015</v>
      </c>
      <c r="M18" s="16" t="n">
        <v>665</v>
      </c>
      <c r="N18" s="16" t="n">
        <v>9.98</v>
      </c>
      <c r="O18" t="inlineStr">
        <is>
          <t>No</t>
        </is>
      </c>
      <c r="P18" s="16" t="n">
        <v>49.88</v>
      </c>
      <c r="Q18" s="16" t="n">
        <v>49.88</v>
      </c>
      <c r="R18" s="16" t="n">
        <v>5e-15</v>
      </c>
    </row>
    <row r="19">
      <c r="A19" t="n">
        <v>15</v>
      </c>
      <c r="B19" t="inlineStr">
        <is>
          <t>2026-03-10</t>
        </is>
      </c>
      <c r="C19" t="inlineStr">
        <is>
          <t>#1350</t>
        </is>
      </c>
      <c r="D19" t="inlineStr">
        <is>
          <t>Point of Sale</t>
        </is>
      </c>
      <c r="E19" s="16" t="n">
        <v>96</v>
      </c>
      <c r="F19" s="16" t="n">
        <v>91.2</v>
      </c>
      <c r="G19" s="16" t="n">
        <v>4.799999999999997</v>
      </c>
      <c r="H19" t="inlineStr">
        <is>
          <t>Plant City</t>
        </is>
      </c>
      <c r="I19" t="inlineStr">
        <is>
          <t>Hillsborough</t>
        </is>
      </c>
      <c r="J19" s="17" t="n">
        <v>0.06</v>
      </c>
      <c r="K19" s="16" t="n">
        <v>5.47</v>
      </c>
      <c r="L19" s="17" t="n">
        <v>0.015</v>
      </c>
      <c r="M19" s="16" t="n">
        <v>91.2</v>
      </c>
      <c r="N19" s="16" t="n">
        <v>1.37</v>
      </c>
      <c r="O19" t="inlineStr">
        <is>
          <t>No</t>
        </is>
      </c>
      <c r="P19" s="16" t="n">
        <v>6.84</v>
      </c>
      <c r="Q19" s="16" t="n">
        <v>6.84</v>
      </c>
      <c r="R19" s="16" t="n">
        <v>0</v>
      </c>
    </row>
    <row r="20">
      <c r="A20" t="n">
        <v>16</v>
      </c>
      <c r="B20" t="inlineStr">
        <is>
          <t>2026-03-10</t>
        </is>
      </c>
      <c r="C20" t="inlineStr">
        <is>
          <t>#1349</t>
        </is>
      </c>
      <c r="D20" t="inlineStr">
        <is>
          <t>Draft Orders</t>
        </is>
      </c>
      <c r="E20" s="16" t="n">
        <v>264.85</v>
      </c>
      <c r="F20" s="16" t="n">
        <v>264.85</v>
      </c>
      <c r="G20" s="16" t="n">
        <v>0</v>
      </c>
      <c r="H20" t="inlineStr">
        <is>
          <t>Plant City</t>
        </is>
      </c>
      <c r="I20" t="inlineStr">
        <is>
          <t>Hillsborough</t>
        </is>
      </c>
      <c r="J20" s="17" t="n">
        <v>0.06</v>
      </c>
      <c r="K20" s="16" t="n">
        <v>15.89</v>
      </c>
      <c r="L20" s="17" t="n">
        <v>0.015</v>
      </c>
      <c r="M20" s="16" t="n">
        <v>264.85</v>
      </c>
      <c r="N20" s="16" t="n">
        <v>3.97</v>
      </c>
      <c r="O20" t="inlineStr">
        <is>
          <t>No</t>
        </is>
      </c>
      <c r="P20" s="16" t="n">
        <v>19.86</v>
      </c>
      <c r="Q20" s="16" t="n">
        <v>19.86</v>
      </c>
      <c r="R20" s="16" t="n">
        <v>0</v>
      </c>
    </row>
    <row r="21">
      <c r="A21" t="n">
        <v>17</v>
      </c>
      <c r="B21" t="inlineStr">
        <is>
          <t>2026-03-11</t>
        </is>
      </c>
      <c r="C21" t="inlineStr">
        <is>
          <t>#1352</t>
        </is>
      </c>
      <c r="D21" t="inlineStr">
        <is>
          <t>Draft Orders</t>
        </is>
      </c>
      <c r="E21" s="16" t="n">
        <v>80</v>
      </c>
      <c r="F21" s="16" t="n">
        <v>76</v>
      </c>
      <c r="G21" s="16" t="n">
        <v>4</v>
      </c>
      <c r="H21" t="inlineStr">
        <is>
          <t>Plant City</t>
        </is>
      </c>
      <c r="I21" t="inlineStr">
        <is>
          <t>Hillsborough</t>
        </is>
      </c>
      <c r="J21" s="17" t="n">
        <v>0.06</v>
      </c>
      <c r="K21" s="16" t="n">
        <v>4.56</v>
      </c>
      <c r="L21" s="17" t="n">
        <v>0.015</v>
      </c>
      <c r="M21" s="16" t="n">
        <v>76</v>
      </c>
      <c r="N21" s="16" t="n">
        <v>1.14</v>
      </c>
      <c r="O21" t="inlineStr">
        <is>
          <t>No</t>
        </is>
      </c>
      <c r="P21" s="16" t="n">
        <v>5.7</v>
      </c>
      <c r="Q21" s="16" t="n">
        <v>5.699999999999999</v>
      </c>
      <c r="R21" s="16" t="n">
        <v>1e-15</v>
      </c>
    </row>
    <row r="22">
      <c r="A22" t="n">
        <v>18</v>
      </c>
      <c r="B22" t="inlineStr">
        <is>
          <t>2026-03-11</t>
        </is>
      </c>
      <c r="C22" t="inlineStr">
        <is>
          <t>#1351</t>
        </is>
      </c>
      <c r="D22" t="inlineStr">
        <is>
          <t>Point of Sale</t>
        </is>
      </c>
      <c r="E22" s="16" t="n">
        <v>350</v>
      </c>
      <c r="F22" s="16" t="n">
        <v>262.5</v>
      </c>
      <c r="G22" s="16" t="n">
        <v>87.5</v>
      </c>
      <c r="H22" t="inlineStr">
        <is>
          <t>Plant City</t>
        </is>
      </c>
      <c r="I22" t="inlineStr">
        <is>
          <t>Hillsborough</t>
        </is>
      </c>
      <c r="J22" s="17" t="n">
        <v>0.06</v>
      </c>
      <c r="K22" s="16" t="n">
        <v>15.75</v>
      </c>
      <c r="L22" s="17" t="n">
        <v>0.015</v>
      </c>
      <c r="M22" s="16" t="n">
        <v>262.5</v>
      </c>
      <c r="N22" s="16" t="n">
        <v>3.94</v>
      </c>
      <c r="O22" t="inlineStr">
        <is>
          <t>No</t>
        </is>
      </c>
      <c r="P22" s="16" t="n">
        <v>19.69</v>
      </c>
      <c r="Q22" s="16" t="n">
        <v>19.69</v>
      </c>
      <c r="R22" s="16" t="n">
        <v>0</v>
      </c>
    </row>
    <row r="23">
      <c r="A23" t="n">
        <v>19</v>
      </c>
      <c r="B23" t="inlineStr">
        <is>
          <t>2026-03-11</t>
        </is>
      </c>
      <c r="C23" t="inlineStr">
        <is>
          <t>#1351</t>
        </is>
      </c>
      <c r="D23" t="inlineStr">
        <is>
          <t>Point of Sale</t>
        </is>
      </c>
      <c r="E23" s="16" t="n">
        <v>560</v>
      </c>
      <c r="F23" s="16" t="n">
        <v>420</v>
      </c>
      <c r="G23" s="16" t="n">
        <v>140</v>
      </c>
      <c r="H23" t="inlineStr">
        <is>
          <t>Plant City</t>
        </is>
      </c>
      <c r="I23" t="inlineStr">
        <is>
          <t>Hillsborough</t>
        </is>
      </c>
      <c r="J23" s="17" t="n">
        <v>0.06</v>
      </c>
      <c r="K23" s="16" t="n">
        <v>25.2</v>
      </c>
      <c r="L23" s="17" t="n">
        <v>0.015</v>
      </c>
      <c r="M23" s="16" t="n">
        <v>420</v>
      </c>
      <c r="N23" s="16" t="n">
        <v>6.3</v>
      </c>
      <c r="O23" t="inlineStr">
        <is>
          <t>No</t>
        </is>
      </c>
      <c r="P23" s="16" t="n">
        <v>31.5</v>
      </c>
      <c r="Q23" s="16" t="n">
        <v>31.5</v>
      </c>
      <c r="R23" s="16" t="n">
        <v>0</v>
      </c>
    </row>
    <row r="24">
      <c r="A24" t="n">
        <v>20</v>
      </c>
      <c r="B24" t="inlineStr">
        <is>
          <t>2026-03-12</t>
        </is>
      </c>
      <c r="C24" t="inlineStr">
        <is>
          <t>#1355</t>
        </is>
      </c>
      <c r="D24" t="inlineStr">
        <is>
          <t>Draft Orders</t>
        </is>
      </c>
      <c r="E24" s="16" t="n">
        <v>50</v>
      </c>
      <c r="F24" s="16" t="n">
        <v>49.37</v>
      </c>
      <c r="G24" s="16" t="n">
        <v>0.6300000000000026</v>
      </c>
      <c r="H24" t="inlineStr">
        <is>
          <t>Plant City</t>
        </is>
      </c>
      <c r="I24" t="inlineStr">
        <is>
          <t>Hillsborough</t>
        </is>
      </c>
      <c r="J24" s="17" t="n">
        <v>0.06</v>
      </c>
      <c r="K24" s="16" t="n">
        <v>2.96</v>
      </c>
      <c r="L24" s="17" t="n">
        <v>0.015</v>
      </c>
      <c r="M24" s="16" t="n">
        <v>49.37</v>
      </c>
      <c r="N24" s="16" t="n">
        <v>0.74</v>
      </c>
      <c r="O24" t="inlineStr">
        <is>
          <t>No</t>
        </is>
      </c>
      <c r="P24" s="16" t="n">
        <v>3.7</v>
      </c>
      <c r="Q24" s="16" t="n">
        <v>3.7</v>
      </c>
      <c r="R24" s="16" t="n">
        <v>0</v>
      </c>
    </row>
    <row r="25">
      <c r="A25" t="n">
        <v>21</v>
      </c>
      <c r="B25" t="inlineStr">
        <is>
          <t>2026-03-12</t>
        </is>
      </c>
      <c r="C25" t="inlineStr">
        <is>
          <t>#1355</t>
        </is>
      </c>
      <c r="D25" t="inlineStr">
        <is>
          <t>Draft Orders</t>
        </is>
      </c>
      <c r="E25" s="16" t="n">
        <v>0</v>
      </c>
      <c r="F25" s="16" t="n">
        <v>50</v>
      </c>
      <c r="G25" s="16" t="n">
        <v>-50</v>
      </c>
      <c r="H25" t="inlineStr">
        <is>
          <t>Plant City</t>
        </is>
      </c>
      <c r="I25" t="inlineStr">
        <is>
          <t>Hillsborough</t>
        </is>
      </c>
      <c r="J25" s="17" t="n">
        <v>0.06</v>
      </c>
      <c r="K25" s="16" t="n">
        <v>3</v>
      </c>
      <c r="L25" s="17" t="n">
        <v>0.015</v>
      </c>
      <c r="M25" s="16" t="n">
        <v>50</v>
      </c>
      <c r="N25" s="16" t="n">
        <v>0.75</v>
      </c>
      <c r="O25" t="inlineStr">
        <is>
          <t>No</t>
        </is>
      </c>
      <c r="P25" s="16" t="n">
        <v>3.75</v>
      </c>
      <c r="Q25" s="16" t="n">
        <v>3.75</v>
      </c>
      <c r="R25" s="16" t="n">
        <v>0</v>
      </c>
    </row>
    <row r="26">
      <c r="A26" t="n">
        <v>22</v>
      </c>
      <c r="B26" t="inlineStr">
        <is>
          <t>2026-03-12</t>
        </is>
      </c>
      <c r="C26" t="inlineStr">
        <is>
          <t>#1353</t>
        </is>
      </c>
      <c r="D26" t="inlineStr">
        <is>
          <t>Draft Orders</t>
        </is>
      </c>
      <c r="E26" s="16" t="n">
        <v>1407.48</v>
      </c>
      <c r="F26" s="16" t="n">
        <v>1407.48</v>
      </c>
      <c r="G26" s="16" t="n">
        <v>0</v>
      </c>
      <c r="H26" t="inlineStr">
        <is>
          <t>Sun City Center</t>
        </is>
      </c>
      <c r="I26" t="inlineStr">
        <is>
          <t>Hillsborough</t>
        </is>
      </c>
      <c r="J26" s="17" t="n">
        <v>0.06</v>
      </c>
      <c r="K26" s="16" t="n">
        <v>84.45</v>
      </c>
      <c r="L26" s="17" t="n">
        <v>0.015</v>
      </c>
      <c r="M26" s="16" t="n">
        <v>1407.48</v>
      </c>
      <c r="N26" s="16" t="n">
        <v>21.11</v>
      </c>
      <c r="O26" t="inlineStr">
        <is>
          <t>No</t>
        </is>
      </c>
      <c r="P26" s="16" t="n">
        <v>105.56</v>
      </c>
      <c r="Q26" s="16" t="n">
        <v>105.56</v>
      </c>
      <c r="R26" s="16" t="n">
        <v>0</v>
      </c>
    </row>
    <row r="27">
      <c r="A27" t="n">
        <v>23</v>
      </c>
      <c r="B27" t="inlineStr">
        <is>
          <t>2026-03-12</t>
        </is>
      </c>
      <c r="C27" t="inlineStr">
        <is>
          <t>#1355</t>
        </is>
      </c>
      <c r="D27" t="inlineStr">
        <is>
          <t>Draft Orders</t>
        </is>
      </c>
      <c r="E27" s="16" t="n">
        <v>525</v>
      </c>
      <c r="F27" s="16" t="n">
        <v>492.4</v>
      </c>
      <c r="G27" s="16" t="n">
        <v>32.60000000000002</v>
      </c>
      <c r="H27" t="inlineStr">
        <is>
          <t>Plant City</t>
        </is>
      </c>
      <c r="I27" t="inlineStr">
        <is>
          <t>Hillsborough</t>
        </is>
      </c>
      <c r="J27" s="17" t="n">
        <v>0.06</v>
      </c>
      <c r="K27" s="16" t="n">
        <v>29.54</v>
      </c>
      <c r="L27" s="17" t="n">
        <v>0.015</v>
      </c>
      <c r="M27" s="16" t="n">
        <v>492.4</v>
      </c>
      <c r="N27" s="16" t="n">
        <v>7.39</v>
      </c>
      <c r="O27" t="inlineStr">
        <is>
          <t>No</t>
        </is>
      </c>
      <c r="P27" s="16" t="n">
        <v>36.93</v>
      </c>
      <c r="Q27" s="16" t="n">
        <v>36.93</v>
      </c>
      <c r="R27" s="16" t="n">
        <v>0</v>
      </c>
    </row>
    <row r="28">
      <c r="A28" t="n">
        <v>24</v>
      </c>
      <c r="B28" t="inlineStr">
        <is>
          <t>2026-03-12</t>
        </is>
      </c>
      <c r="C28" t="inlineStr">
        <is>
          <t>#1353</t>
        </is>
      </c>
      <c r="D28" t="inlineStr">
        <is>
          <t>Draft Orders</t>
        </is>
      </c>
      <c r="E28" s="16" t="n">
        <v>0</v>
      </c>
      <c r="F28" s="16" t="n">
        <v>75</v>
      </c>
      <c r="G28" s="16" t="n">
        <v>-75</v>
      </c>
      <c r="H28" t="inlineStr">
        <is>
          <t>Sun City Center</t>
        </is>
      </c>
      <c r="I28" t="inlineStr">
        <is>
          <t>Hillsborough</t>
        </is>
      </c>
      <c r="J28" s="17" t="n">
        <v>0.06</v>
      </c>
      <c r="K28" s="16" t="n">
        <v>4.5</v>
      </c>
      <c r="L28" s="17" t="n">
        <v>0.015</v>
      </c>
      <c r="M28" s="16" t="n">
        <v>75</v>
      </c>
      <c r="N28" s="16" t="n">
        <v>1.13</v>
      </c>
      <c r="O28" t="inlineStr">
        <is>
          <t>No</t>
        </is>
      </c>
      <c r="P28" s="16" t="n">
        <v>5.63</v>
      </c>
      <c r="Q28" s="16" t="n">
        <v>5.63</v>
      </c>
      <c r="R28" s="16" t="n">
        <v>0</v>
      </c>
    </row>
    <row r="29">
      <c r="A29" t="n">
        <v>25</v>
      </c>
      <c r="B29" t="inlineStr">
        <is>
          <t>2026-03-14</t>
        </is>
      </c>
      <c r="C29" t="inlineStr">
        <is>
          <t>#1358</t>
        </is>
      </c>
      <c r="D29" t="inlineStr">
        <is>
          <t>Draft Orders</t>
        </is>
      </c>
      <c r="E29" s="16" t="n">
        <v>4323.3</v>
      </c>
      <c r="F29" s="16" t="n">
        <v>4323.3</v>
      </c>
      <c r="G29" s="16" t="n">
        <v>0</v>
      </c>
      <c r="H29" t="inlineStr">
        <is>
          <t>Mulberry</t>
        </is>
      </c>
      <c r="I29" t="inlineStr">
        <is>
          <t>Polk</t>
        </is>
      </c>
      <c r="J29" s="17" t="n">
        <v>0.06</v>
      </c>
      <c r="K29" s="16" t="n">
        <v>259.4</v>
      </c>
      <c r="L29" s="17" t="n">
        <v>0.015</v>
      </c>
      <c r="M29" s="16" t="n">
        <v>4323.3</v>
      </c>
      <c r="N29" s="16" t="n">
        <v>64.84999999999999</v>
      </c>
      <c r="O29" t="inlineStr">
        <is>
          <t>No</t>
        </is>
      </c>
      <c r="P29" s="16" t="n">
        <v>324.25</v>
      </c>
      <c r="Q29" s="16" t="n">
        <v>302.63</v>
      </c>
      <c r="R29" s="18" t="n">
        <v>21.62</v>
      </c>
    </row>
    <row r="30">
      <c r="A30" t="n">
        <v>26</v>
      </c>
      <c r="B30" t="inlineStr">
        <is>
          <t>2026-03-14</t>
        </is>
      </c>
      <c r="C30" t="inlineStr">
        <is>
          <t>#1356</t>
        </is>
      </c>
      <c r="D30" t="inlineStr">
        <is>
          <t>Draft Orders</t>
        </is>
      </c>
      <c r="E30" s="16" t="n">
        <v>15</v>
      </c>
      <c r="F30" s="16" t="n">
        <v>14.25</v>
      </c>
      <c r="G30" s="16" t="n">
        <v>0.75</v>
      </c>
      <c r="H30" t="inlineStr">
        <is>
          <t>Plant City</t>
        </is>
      </c>
      <c r="I30" t="inlineStr">
        <is>
          <t>Hillsborough</t>
        </is>
      </c>
      <c r="J30" s="17" t="n">
        <v>0.06</v>
      </c>
      <c r="K30" s="16" t="n">
        <v>0.86</v>
      </c>
      <c r="L30" s="17" t="n">
        <v>0.015</v>
      </c>
      <c r="M30" s="16" t="n">
        <v>14.25</v>
      </c>
      <c r="N30" s="16" t="n">
        <v>0.21</v>
      </c>
      <c r="O30" t="inlineStr">
        <is>
          <t>No</t>
        </is>
      </c>
      <c r="P30" s="16" t="n">
        <v>1.07</v>
      </c>
      <c r="Q30" s="16" t="n">
        <v>1.07</v>
      </c>
      <c r="R30" s="16" t="n">
        <v>0</v>
      </c>
    </row>
    <row r="31">
      <c r="A31" t="n">
        <v>27</v>
      </c>
      <c r="B31" t="inlineStr">
        <is>
          <t>2026-03-14</t>
        </is>
      </c>
      <c r="C31" t="inlineStr">
        <is>
          <t>#1357</t>
        </is>
      </c>
      <c r="D31" t="inlineStr">
        <is>
          <t>Point of Sale</t>
        </is>
      </c>
      <c r="E31" s="16" t="n">
        <v>2365.4</v>
      </c>
      <c r="F31" s="16" t="n">
        <v>2365.4</v>
      </c>
      <c r="G31" s="16" t="n">
        <v>0</v>
      </c>
      <c r="H31" t="inlineStr">
        <is>
          <t>Plant City</t>
        </is>
      </c>
      <c r="I31" t="inlineStr">
        <is>
          <t>Hillsborough</t>
        </is>
      </c>
      <c r="J31" s="17" t="n">
        <v>0.06</v>
      </c>
      <c r="K31" s="16" t="n">
        <v>141.92</v>
      </c>
      <c r="L31" s="17" t="n">
        <v>0.015</v>
      </c>
      <c r="M31" s="16" t="n">
        <v>2365.4</v>
      </c>
      <c r="N31" s="16" t="n">
        <v>35.48</v>
      </c>
      <c r="O31" t="inlineStr">
        <is>
          <t>No</t>
        </is>
      </c>
      <c r="P31" s="16" t="n">
        <v>177.41</v>
      </c>
      <c r="Q31" s="16" t="n">
        <v>177.4</v>
      </c>
      <c r="R31" s="16" t="n">
        <v>0.01000000000002</v>
      </c>
    </row>
    <row r="32">
      <c r="A32" t="n">
        <v>28</v>
      </c>
      <c r="B32" t="inlineStr">
        <is>
          <t>2026-03-15</t>
        </is>
      </c>
      <c r="C32" t="inlineStr">
        <is>
          <t>#1359</t>
        </is>
      </c>
      <c r="D32" t="inlineStr">
        <is>
          <t>Online Store</t>
        </is>
      </c>
      <c r="E32" s="16" t="n">
        <v>0</v>
      </c>
      <c r="F32" s="16" t="n">
        <v>75</v>
      </c>
      <c r="G32" s="16" t="n">
        <v>-75</v>
      </c>
      <c r="H32" t="inlineStr">
        <is>
          <t>Hudson</t>
        </is>
      </c>
      <c r="I32" t="inlineStr">
        <is>
          <t>Pasco</t>
        </is>
      </c>
      <c r="J32" s="17" t="n">
        <v>0.06</v>
      </c>
      <c r="K32" s="16" t="n">
        <v>4.5</v>
      </c>
      <c r="L32" s="17" t="n">
        <v>0.01</v>
      </c>
      <c r="M32" s="16" t="n">
        <v>75</v>
      </c>
      <c r="N32" s="16" t="n">
        <v>0.75</v>
      </c>
      <c r="O32" t="inlineStr">
        <is>
          <t>No</t>
        </is>
      </c>
      <c r="P32" s="16" t="n">
        <v>5.25</v>
      </c>
      <c r="Q32" s="16" t="n">
        <v>5.25</v>
      </c>
      <c r="R32" s="16" t="n">
        <v>0</v>
      </c>
    </row>
    <row r="33">
      <c r="A33" t="n">
        <v>29</v>
      </c>
      <c r="B33" t="inlineStr">
        <is>
          <t>2026-03-15</t>
        </is>
      </c>
      <c r="C33" t="inlineStr">
        <is>
          <t>#1359</t>
        </is>
      </c>
      <c r="D33" t="inlineStr">
        <is>
          <t>Online Store</t>
        </is>
      </c>
      <c r="E33" s="16" t="n">
        <v>1100</v>
      </c>
      <c r="F33" s="16" t="n">
        <v>1100</v>
      </c>
      <c r="G33" s="16" t="n">
        <v>0</v>
      </c>
      <c r="H33" t="inlineStr">
        <is>
          <t>Hudson</t>
        </is>
      </c>
      <c r="I33" t="inlineStr">
        <is>
          <t>Pasco</t>
        </is>
      </c>
      <c r="J33" s="17" t="n">
        <v>0.06</v>
      </c>
      <c r="K33" s="16" t="n">
        <v>66</v>
      </c>
      <c r="L33" s="17" t="n">
        <v>0.01</v>
      </c>
      <c r="M33" s="16" t="n">
        <v>1100</v>
      </c>
      <c r="N33" s="16" t="n">
        <v>11</v>
      </c>
      <c r="O33" t="inlineStr">
        <is>
          <t>No</t>
        </is>
      </c>
      <c r="P33" s="16" t="n">
        <v>77</v>
      </c>
      <c r="Q33" s="16" t="n">
        <v>77</v>
      </c>
      <c r="R33" s="16" t="n">
        <v>0</v>
      </c>
    </row>
    <row r="34">
      <c r="A34" t="n">
        <v>30</v>
      </c>
      <c r="B34" t="inlineStr">
        <is>
          <t>2026-03-16</t>
        </is>
      </c>
      <c r="C34" t="inlineStr">
        <is>
          <t>#1364</t>
        </is>
      </c>
      <c r="D34" t="inlineStr">
        <is>
          <t>Online Store</t>
        </is>
      </c>
      <c r="E34" s="16" t="n">
        <v>1200</v>
      </c>
      <c r="F34" s="16" t="n">
        <v>1200</v>
      </c>
      <c r="G34" s="16" t="n">
        <v>0</v>
      </c>
      <c r="H34" t="inlineStr">
        <is>
          <t>Winter Haven</t>
        </is>
      </c>
      <c r="I34" t="inlineStr">
        <is>
          <t>Polk</t>
        </is>
      </c>
      <c r="J34" s="17" t="n">
        <v>0.06</v>
      </c>
      <c r="K34" s="16" t="n">
        <v>72</v>
      </c>
      <c r="L34" s="17" t="n">
        <v>0.015</v>
      </c>
      <c r="M34" s="16" t="n">
        <v>1200</v>
      </c>
      <c r="N34" s="16" t="n">
        <v>18</v>
      </c>
      <c r="O34" t="inlineStr">
        <is>
          <t>No</t>
        </is>
      </c>
      <c r="P34" s="16" t="n">
        <v>90</v>
      </c>
      <c r="Q34" s="16" t="n">
        <v>84</v>
      </c>
      <c r="R34" s="18" t="n">
        <v>6</v>
      </c>
    </row>
    <row r="35">
      <c r="A35" t="n">
        <v>31</v>
      </c>
      <c r="B35" t="inlineStr">
        <is>
          <t>2026-03-16</t>
        </is>
      </c>
      <c r="C35" t="inlineStr">
        <is>
          <t>#1363</t>
        </is>
      </c>
      <c r="D35" t="inlineStr">
        <is>
          <t>Point of Sale</t>
        </is>
      </c>
      <c r="E35" s="16" t="n">
        <v>8</v>
      </c>
      <c r="F35" s="16" t="n">
        <v>8</v>
      </c>
      <c r="G35" s="16" t="n">
        <v>0</v>
      </c>
      <c r="H35" t="inlineStr">
        <is>
          <t>Plant City</t>
        </is>
      </c>
      <c r="I35" t="inlineStr">
        <is>
          <t>Hillsborough</t>
        </is>
      </c>
      <c r="J35" s="17" t="n">
        <v>0.06</v>
      </c>
      <c r="K35" s="16" t="n">
        <v>0.48</v>
      </c>
      <c r="L35" s="17" t="n">
        <v>0.015</v>
      </c>
      <c r="M35" s="16" t="n">
        <v>8</v>
      </c>
      <c r="N35" s="16" t="n">
        <v>0.12</v>
      </c>
      <c r="O35" t="inlineStr">
        <is>
          <t>No</t>
        </is>
      </c>
      <c r="P35" s="16" t="n">
        <v>0.6</v>
      </c>
      <c r="Q35" s="16" t="n">
        <v>0.6</v>
      </c>
      <c r="R35" s="16" t="n">
        <v>0</v>
      </c>
    </row>
    <row r="36">
      <c r="A36" t="n">
        <v>32</v>
      </c>
      <c r="B36" t="inlineStr">
        <is>
          <t>2026-03-16</t>
        </is>
      </c>
      <c r="C36" t="inlineStr">
        <is>
          <t>#1362</t>
        </is>
      </c>
      <c r="D36" t="inlineStr">
        <is>
          <t>Online Store</t>
        </is>
      </c>
      <c r="E36" s="16" t="n">
        <v>650</v>
      </c>
      <c r="F36" s="16" t="n">
        <v>650</v>
      </c>
      <c r="G36" s="16" t="n">
        <v>0</v>
      </c>
      <c r="H36" t="inlineStr">
        <is>
          <t>Plant City</t>
        </is>
      </c>
      <c r="I36" t="inlineStr">
        <is>
          <t>Hillsborough</t>
        </is>
      </c>
      <c r="J36" s="17" t="n">
        <v>0.06</v>
      </c>
      <c r="K36" s="16" t="n">
        <v>39</v>
      </c>
      <c r="L36" s="17" t="n">
        <v>0.015</v>
      </c>
      <c r="M36" s="16" t="n">
        <v>650</v>
      </c>
      <c r="N36" s="16" t="n">
        <v>9.75</v>
      </c>
      <c r="O36" t="inlineStr">
        <is>
          <t>No</t>
        </is>
      </c>
      <c r="P36" s="16" t="n">
        <v>48.75</v>
      </c>
      <c r="Q36" s="16" t="n">
        <v>48.75</v>
      </c>
      <c r="R36" s="16" t="n">
        <v>0</v>
      </c>
    </row>
    <row r="37">
      <c r="A37" t="n">
        <v>33</v>
      </c>
      <c r="B37" t="inlineStr">
        <is>
          <t>2026-03-16</t>
        </is>
      </c>
      <c r="C37" t="inlineStr">
        <is>
          <t>#1360</t>
        </is>
      </c>
      <c r="D37" t="inlineStr">
        <is>
          <t>Draft Orders</t>
        </is>
      </c>
      <c r="E37" s="16" t="n">
        <v>0</v>
      </c>
      <c r="F37" s="16" t="n">
        <v>0</v>
      </c>
      <c r="G37" s="16" t="n">
        <v>0</v>
      </c>
      <c r="H37" t="inlineStr">
        <is>
          <t>Brandon</t>
        </is>
      </c>
      <c r="I37" t="inlineStr">
        <is>
          <t>Hillsborough</t>
        </is>
      </c>
      <c r="J37" s="17" t="n">
        <v>0.06</v>
      </c>
      <c r="K37" s="16" t="n">
        <v>0</v>
      </c>
      <c r="L37" s="17" t="n">
        <v>0.015</v>
      </c>
      <c r="M37" s="16" t="n">
        <v>0</v>
      </c>
      <c r="N37" s="16" t="n">
        <v>0</v>
      </c>
      <c r="O37" t="inlineStr">
        <is>
          <t>No</t>
        </is>
      </c>
      <c r="P37" s="16" t="n">
        <v>0</v>
      </c>
      <c r="Q37" s="16" t="n">
        <v>0</v>
      </c>
      <c r="R37" s="16" t="n">
        <v>0</v>
      </c>
    </row>
    <row r="38">
      <c r="A38" t="n">
        <v>34</v>
      </c>
      <c r="B38" t="inlineStr">
        <is>
          <t>2026-03-16</t>
        </is>
      </c>
      <c r="C38" t="inlineStr">
        <is>
          <t>#1364</t>
        </is>
      </c>
      <c r="D38" t="inlineStr">
        <is>
          <t>Online Store</t>
        </is>
      </c>
      <c r="E38" s="16" t="n">
        <v>0</v>
      </c>
      <c r="F38" s="16" t="n">
        <v>75</v>
      </c>
      <c r="G38" s="16" t="n">
        <v>-75</v>
      </c>
      <c r="H38" t="inlineStr">
        <is>
          <t>Winter Haven</t>
        </is>
      </c>
      <c r="I38" t="inlineStr">
        <is>
          <t>Polk</t>
        </is>
      </c>
      <c r="J38" s="17" t="n">
        <v>0.06</v>
      </c>
      <c r="K38" s="16" t="n">
        <v>4.5</v>
      </c>
      <c r="L38" s="17" t="n">
        <v>0.015</v>
      </c>
      <c r="M38" s="16" t="n">
        <v>75</v>
      </c>
      <c r="N38" s="16" t="n">
        <v>1.13</v>
      </c>
      <c r="O38" t="inlineStr">
        <is>
          <t>No</t>
        </is>
      </c>
      <c r="P38" s="16" t="n">
        <v>5.63</v>
      </c>
      <c r="Q38" s="16" t="n">
        <v>5.25</v>
      </c>
      <c r="R38" s="18" t="n">
        <v>0.38</v>
      </c>
    </row>
    <row r="39">
      <c r="A39" t="n">
        <v>35</v>
      </c>
      <c r="B39" t="inlineStr">
        <is>
          <t>2026-03-16</t>
        </is>
      </c>
      <c r="C39" t="inlineStr">
        <is>
          <t>#1362</t>
        </is>
      </c>
      <c r="D39" t="inlineStr">
        <is>
          <t>Online Store</t>
        </is>
      </c>
      <c r="E39" s="16" t="n">
        <v>900</v>
      </c>
      <c r="F39" s="16" t="n">
        <v>900</v>
      </c>
      <c r="G39" s="16" t="n">
        <v>0</v>
      </c>
      <c r="H39" t="inlineStr">
        <is>
          <t>Plant City</t>
        </is>
      </c>
      <c r="I39" t="inlineStr">
        <is>
          <t>Hillsborough</t>
        </is>
      </c>
      <c r="J39" s="17" t="n">
        <v>0.06</v>
      </c>
      <c r="K39" s="16" t="n">
        <v>54</v>
      </c>
      <c r="L39" s="17" t="n">
        <v>0.015</v>
      </c>
      <c r="M39" s="16" t="n">
        <v>900</v>
      </c>
      <c r="N39" s="16" t="n">
        <v>13.5</v>
      </c>
      <c r="O39" t="inlineStr">
        <is>
          <t>No</t>
        </is>
      </c>
      <c r="P39" s="16" t="n">
        <v>67.5</v>
      </c>
      <c r="Q39" s="16" t="n">
        <v>67.5</v>
      </c>
      <c r="R39" s="16" t="n">
        <v>0</v>
      </c>
    </row>
    <row r="40">
      <c r="A40" t="n">
        <v>36</v>
      </c>
      <c r="B40" t="inlineStr">
        <is>
          <t>2026-03-16</t>
        </is>
      </c>
      <c r="C40" t="inlineStr">
        <is>
          <t>#1360</t>
        </is>
      </c>
      <c r="D40" t="inlineStr">
        <is>
          <t>Draft Orders</t>
        </is>
      </c>
      <c r="E40" s="16" t="n">
        <v>1485.4</v>
      </c>
      <c r="F40" s="16" t="n">
        <v>1485.4</v>
      </c>
      <c r="G40" s="16" t="n">
        <v>0</v>
      </c>
      <c r="H40" t="inlineStr">
        <is>
          <t>Brandon</t>
        </is>
      </c>
      <c r="I40" t="inlineStr">
        <is>
          <t>Hillsborough</t>
        </is>
      </c>
      <c r="J40" s="17" t="n">
        <v>0.06</v>
      </c>
      <c r="K40" s="16" t="n">
        <v>89.12</v>
      </c>
      <c r="L40" s="17" t="n">
        <v>0.015</v>
      </c>
      <c r="M40" s="16" t="n">
        <v>1485.4</v>
      </c>
      <c r="N40" s="16" t="n">
        <v>22.28</v>
      </c>
      <c r="O40" t="inlineStr">
        <is>
          <t>No</t>
        </is>
      </c>
      <c r="P40" s="16" t="n">
        <v>111.41</v>
      </c>
      <c r="Q40" s="16" t="n">
        <v>111.4</v>
      </c>
      <c r="R40" s="16" t="n">
        <v>0.01</v>
      </c>
    </row>
    <row r="41">
      <c r="A41" t="n">
        <v>37</v>
      </c>
      <c r="B41" t="inlineStr">
        <is>
          <t>2026-03-16</t>
        </is>
      </c>
      <c r="C41" t="inlineStr">
        <is>
          <t>#1361</t>
        </is>
      </c>
      <c r="D41" t="inlineStr">
        <is>
          <t>Draft Orders</t>
        </is>
      </c>
      <c r="E41" s="16" t="n">
        <v>80</v>
      </c>
      <c r="F41" s="16" t="n">
        <v>80</v>
      </c>
      <c r="G41" s="16" t="n">
        <v>0</v>
      </c>
      <c r="H41" t="inlineStr">
        <is>
          <t>Plant City</t>
        </is>
      </c>
      <c r="I41" t="inlineStr">
        <is>
          <t>Hillsborough</t>
        </is>
      </c>
      <c r="J41" s="17" t="n">
        <v>0.06</v>
      </c>
      <c r="K41" s="16" t="n">
        <v>4.8</v>
      </c>
      <c r="L41" s="17" t="n">
        <v>0.015</v>
      </c>
      <c r="M41" s="16" t="n">
        <v>80</v>
      </c>
      <c r="N41" s="16" t="n">
        <v>1.2</v>
      </c>
      <c r="O41" t="inlineStr">
        <is>
          <t>No</t>
        </is>
      </c>
      <c r="P41" s="16" t="n">
        <v>6</v>
      </c>
      <c r="Q41" s="16" t="n">
        <v>6</v>
      </c>
      <c r="R41" s="16" t="n">
        <v>0</v>
      </c>
    </row>
    <row r="42">
      <c r="A42" t="n">
        <v>38</v>
      </c>
      <c r="B42" t="inlineStr">
        <is>
          <t>2026-03-17</t>
        </is>
      </c>
      <c r="C42" t="inlineStr">
        <is>
          <t>#1365</t>
        </is>
      </c>
      <c r="D42" t="inlineStr">
        <is>
          <t>Draft Orders</t>
        </is>
      </c>
      <c r="E42" s="16" t="n">
        <v>200.06</v>
      </c>
      <c r="F42" s="16" t="n">
        <v>200.06</v>
      </c>
      <c r="G42" s="16" t="n">
        <v>0</v>
      </c>
      <c r="H42" t="inlineStr">
        <is>
          <t>Plant City</t>
        </is>
      </c>
      <c r="I42" t="inlineStr">
        <is>
          <t>Hillsborough</t>
        </is>
      </c>
      <c r="J42" s="17" t="n">
        <v>0.06</v>
      </c>
      <c r="K42" s="16" t="n">
        <v>12</v>
      </c>
      <c r="L42" s="17" t="n">
        <v>0.015</v>
      </c>
      <c r="M42" s="16" t="n">
        <v>200.06</v>
      </c>
      <c r="N42" s="16" t="n">
        <v>3</v>
      </c>
      <c r="O42" t="inlineStr">
        <is>
          <t>No</t>
        </is>
      </c>
      <c r="P42" s="16" t="n">
        <v>15.01</v>
      </c>
      <c r="Q42" s="16" t="n">
        <v>15</v>
      </c>
      <c r="R42" s="16" t="n">
        <v>0.01</v>
      </c>
    </row>
    <row r="43">
      <c r="A43" t="n">
        <v>39</v>
      </c>
      <c r="B43" t="inlineStr">
        <is>
          <t>2026-03-18</t>
        </is>
      </c>
      <c r="C43" t="inlineStr">
        <is>
          <t>#1366</t>
        </is>
      </c>
      <c r="D43" t="inlineStr">
        <is>
          <t>Online Store</t>
        </is>
      </c>
      <c r="E43" s="16" t="n">
        <v>0</v>
      </c>
      <c r="F43" s="16" t="n">
        <v>-800</v>
      </c>
      <c r="G43" s="16" t="n">
        <v>800</v>
      </c>
      <c r="H43" t="inlineStr">
        <is>
          <t>Plant City</t>
        </is>
      </c>
      <c r="I43" t="inlineStr">
        <is>
          <t>Hillsborough</t>
        </is>
      </c>
      <c r="J43" s="17" t="n">
        <v>0.06</v>
      </c>
      <c r="K43" s="16" t="n">
        <v>-48</v>
      </c>
      <c r="L43" s="17" t="n">
        <v>0.015</v>
      </c>
      <c r="M43" s="16" t="n">
        <v>-800</v>
      </c>
      <c r="N43" s="16" t="n">
        <v>-12</v>
      </c>
      <c r="O43" t="inlineStr">
        <is>
          <t>No</t>
        </is>
      </c>
      <c r="P43" s="16" t="n">
        <v>-60</v>
      </c>
      <c r="Q43" s="16" t="n">
        <v>-60</v>
      </c>
      <c r="R43" s="16" t="n">
        <v>0</v>
      </c>
    </row>
    <row r="44">
      <c r="A44" t="n">
        <v>40</v>
      </c>
      <c r="B44" t="inlineStr">
        <is>
          <t>2026-03-18</t>
        </is>
      </c>
      <c r="C44" t="inlineStr">
        <is>
          <t>#1366</t>
        </is>
      </c>
      <c r="D44" t="inlineStr">
        <is>
          <t>Online Store</t>
        </is>
      </c>
      <c r="E44" s="16" t="n">
        <v>800</v>
      </c>
      <c r="F44" s="16" t="n">
        <v>800</v>
      </c>
      <c r="G44" s="16" t="n">
        <v>0</v>
      </c>
      <c r="H44" t="inlineStr">
        <is>
          <t>Plant City</t>
        </is>
      </c>
      <c r="I44" t="inlineStr">
        <is>
          <t>Hillsborough</t>
        </is>
      </c>
      <c r="J44" s="17" t="n">
        <v>0.06</v>
      </c>
      <c r="K44" s="16" t="n">
        <v>48</v>
      </c>
      <c r="L44" s="17" t="n">
        <v>0.015</v>
      </c>
      <c r="M44" s="16" t="n">
        <v>800</v>
      </c>
      <c r="N44" s="16" t="n">
        <v>12</v>
      </c>
      <c r="O44" t="inlineStr">
        <is>
          <t>No</t>
        </is>
      </c>
      <c r="P44" s="16" t="n">
        <v>60</v>
      </c>
      <c r="Q44" s="16" t="n">
        <v>60</v>
      </c>
      <c r="R44" s="16" t="n">
        <v>0</v>
      </c>
    </row>
    <row r="45">
      <c r="A45" t="n">
        <v>41</v>
      </c>
      <c r="B45" t="inlineStr">
        <is>
          <t>2026-03-18</t>
        </is>
      </c>
      <c r="C45" t="inlineStr">
        <is>
          <t>#1367</t>
        </is>
      </c>
      <c r="D45" t="inlineStr">
        <is>
          <t>Draft Orders</t>
        </is>
      </c>
      <c r="E45" s="16" t="n">
        <v>1579.1</v>
      </c>
      <c r="F45" s="16" t="n">
        <v>1531.73</v>
      </c>
      <c r="G45" s="16" t="n">
        <v>47.36999999999989</v>
      </c>
      <c r="H45" t="inlineStr">
        <is>
          <t>Plant City</t>
        </is>
      </c>
      <c r="I45" t="inlineStr">
        <is>
          <t>Hillsborough</t>
        </is>
      </c>
      <c r="J45" s="17" t="n">
        <v>0.06</v>
      </c>
      <c r="K45" s="16" t="n">
        <v>91.90000000000001</v>
      </c>
      <c r="L45" s="17" t="n">
        <v>0.015</v>
      </c>
      <c r="M45" s="16" t="n">
        <v>1531.73</v>
      </c>
      <c r="N45" s="16" t="n">
        <v>22.98</v>
      </c>
      <c r="O45" t="inlineStr">
        <is>
          <t>No</t>
        </is>
      </c>
      <c r="P45" s="16" t="n">
        <v>114.88</v>
      </c>
      <c r="Q45" s="16" t="n">
        <v>114.88</v>
      </c>
      <c r="R45" s="16" t="n">
        <v>-1e-14</v>
      </c>
    </row>
    <row r="46">
      <c r="A46" t="n">
        <v>42</v>
      </c>
      <c r="B46" t="inlineStr">
        <is>
          <t>2026-03-18</t>
        </is>
      </c>
      <c r="C46" t="inlineStr">
        <is>
          <t>#1366</t>
        </is>
      </c>
      <c r="D46" t="inlineStr">
        <is>
          <t>Online Store</t>
        </is>
      </c>
      <c r="E46" s="16" t="n">
        <v>805</v>
      </c>
      <c r="F46" s="16" t="n">
        <v>805</v>
      </c>
      <c r="G46" s="16" t="n">
        <v>0</v>
      </c>
      <c r="H46" t="inlineStr">
        <is>
          <t>Plant City</t>
        </is>
      </c>
      <c r="I46" t="inlineStr">
        <is>
          <t>Hillsborough</t>
        </is>
      </c>
      <c r="J46" s="17" t="n">
        <v>0.06</v>
      </c>
      <c r="K46" s="16" t="n">
        <v>48.3</v>
      </c>
      <c r="L46" s="17" t="n">
        <v>0.015</v>
      </c>
      <c r="M46" s="16" t="n">
        <v>805</v>
      </c>
      <c r="N46" s="16" t="n">
        <v>12.08</v>
      </c>
      <c r="O46" t="inlineStr">
        <is>
          <t>No</t>
        </is>
      </c>
      <c r="P46" s="16" t="n">
        <v>60.38</v>
      </c>
      <c r="Q46" s="16" t="n">
        <v>60.38</v>
      </c>
      <c r="R46" s="16" t="n">
        <v>5e-15</v>
      </c>
    </row>
    <row r="47">
      <c r="A47" t="n">
        <v>43</v>
      </c>
      <c r="B47" t="inlineStr">
        <is>
          <t>2026-03-18</t>
        </is>
      </c>
      <c r="C47" t="inlineStr">
        <is>
          <t>#1366</t>
        </is>
      </c>
      <c r="D47" t="inlineStr">
        <is>
          <t>Online Store</t>
        </is>
      </c>
      <c r="E47" s="16" t="n">
        <v>1155</v>
      </c>
      <c r="F47" s="16" t="n">
        <v>1155</v>
      </c>
      <c r="G47" s="16" t="n">
        <v>0</v>
      </c>
      <c r="H47" t="inlineStr">
        <is>
          <t>Plant City</t>
        </is>
      </c>
      <c r="I47" t="inlineStr">
        <is>
          <t>Hillsborough</t>
        </is>
      </c>
      <c r="J47" s="17" t="n">
        <v>0.06</v>
      </c>
      <c r="K47" s="16" t="n">
        <v>69.3</v>
      </c>
      <c r="L47" s="17" t="n">
        <v>0.015</v>
      </c>
      <c r="M47" s="16" t="n">
        <v>1155</v>
      </c>
      <c r="N47" s="16" t="n">
        <v>17.33</v>
      </c>
      <c r="O47" t="inlineStr">
        <is>
          <t>No</t>
        </is>
      </c>
      <c r="P47" s="16" t="n">
        <v>86.63</v>
      </c>
      <c r="Q47" s="16" t="n">
        <v>86.63</v>
      </c>
      <c r="R47" s="16" t="n">
        <v>0</v>
      </c>
    </row>
    <row r="48">
      <c r="A48" t="n">
        <v>44</v>
      </c>
      <c r="B48" t="inlineStr">
        <is>
          <t>2026-03-18</t>
        </is>
      </c>
      <c r="C48" t="inlineStr">
        <is>
          <t>#1366</t>
        </is>
      </c>
      <c r="D48" t="inlineStr">
        <is>
          <t>Online Store</t>
        </is>
      </c>
      <c r="E48" s="16" t="n">
        <v>0</v>
      </c>
      <c r="F48" s="16" t="n">
        <v>-1155</v>
      </c>
      <c r="G48" s="16" t="n">
        <v>1155</v>
      </c>
      <c r="H48" t="inlineStr">
        <is>
          <t>Plant City</t>
        </is>
      </c>
      <c r="I48" t="inlineStr">
        <is>
          <t>Hillsborough</t>
        </is>
      </c>
      <c r="J48" s="17" t="n">
        <v>0.06</v>
      </c>
      <c r="K48" s="16" t="n">
        <v>-69.3</v>
      </c>
      <c r="L48" s="17" t="n">
        <v>0.015</v>
      </c>
      <c r="M48" s="16" t="n">
        <v>-1155</v>
      </c>
      <c r="N48" s="16" t="n">
        <v>-17.33</v>
      </c>
      <c r="O48" t="inlineStr">
        <is>
          <t>No</t>
        </is>
      </c>
      <c r="P48" s="16" t="n">
        <v>-86.63</v>
      </c>
      <c r="Q48" s="16" t="n">
        <v>-86.63</v>
      </c>
      <c r="R48" s="16" t="n">
        <v>0</v>
      </c>
    </row>
    <row r="49">
      <c r="A49" t="n">
        <v>45</v>
      </c>
      <c r="B49" t="inlineStr">
        <is>
          <t>2026-03-18</t>
        </is>
      </c>
      <c r="C49" t="inlineStr">
        <is>
          <t>#1368</t>
        </is>
      </c>
      <c r="D49" t="inlineStr">
        <is>
          <t>Draft Orders</t>
        </is>
      </c>
      <c r="E49" s="16" t="n">
        <v>0</v>
      </c>
      <c r="F49" s="16" t="n">
        <v>0</v>
      </c>
      <c r="G49" s="16" t="n">
        <v>0</v>
      </c>
      <c r="H49" t="inlineStr">
        <is>
          <t>Dunedin</t>
        </is>
      </c>
      <c r="I49" t="inlineStr">
        <is>
          <t>Pinellas</t>
        </is>
      </c>
      <c r="J49" s="17" t="n">
        <v>0.06</v>
      </c>
      <c r="K49" s="16" t="n">
        <v>0</v>
      </c>
      <c r="L49" s="17" t="n">
        <v>0.01</v>
      </c>
      <c r="M49" s="16" t="n">
        <v>0</v>
      </c>
      <c r="N49" s="16" t="n">
        <v>0</v>
      </c>
      <c r="O49" t="inlineStr">
        <is>
          <t>No</t>
        </is>
      </c>
      <c r="P49" s="16" t="n">
        <v>0</v>
      </c>
      <c r="Q49" s="16" t="n">
        <v>0</v>
      </c>
      <c r="R49" s="16" t="n">
        <v>0</v>
      </c>
    </row>
    <row r="50">
      <c r="A50" t="n">
        <v>46</v>
      </c>
      <c r="B50" t="inlineStr">
        <is>
          <t>2026-03-18</t>
        </is>
      </c>
      <c r="C50" t="inlineStr">
        <is>
          <t>#1366</t>
        </is>
      </c>
      <c r="D50" t="inlineStr">
        <is>
          <t>Online Store</t>
        </is>
      </c>
      <c r="E50" s="16" t="n">
        <v>0</v>
      </c>
      <c r="F50" s="16" t="n">
        <v>-805</v>
      </c>
      <c r="G50" s="16" t="n">
        <v>805</v>
      </c>
      <c r="H50" t="inlineStr">
        <is>
          <t>Plant City</t>
        </is>
      </c>
      <c r="I50" t="inlineStr">
        <is>
          <t>Hillsborough</t>
        </is>
      </c>
      <c r="J50" s="17" t="n">
        <v>0.06</v>
      </c>
      <c r="K50" s="16" t="n">
        <v>-48.3</v>
      </c>
      <c r="L50" s="17" t="n">
        <v>0.015</v>
      </c>
      <c r="M50" s="16" t="n">
        <v>-805</v>
      </c>
      <c r="N50" s="16" t="n">
        <v>-12.08</v>
      </c>
      <c r="O50" t="inlineStr">
        <is>
          <t>No</t>
        </is>
      </c>
      <c r="P50" s="16" t="n">
        <v>-60.38</v>
      </c>
      <c r="Q50" s="16" t="n">
        <v>-60.38</v>
      </c>
      <c r="R50" s="16" t="n">
        <v>-5e-15</v>
      </c>
    </row>
    <row r="51">
      <c r="A51" t="n">
        <v>47</v>
      </c>
      <c r="B51" t="inlineStr">
        <is>
          <t>2026-03-18</t>
        </is>
      </c>
      <c r="C51" t="inlineStr">
        <is>
          <t>#1368</t>
        </is>
      </c>
      <c r="D51" t="inlineStr">
        <is>
          <t>Draft Orders</t>
        </is>
      </c>
      <c r="E51" s="16" t="n">
        <v>4965.21</v>
      </c>
      <c r="F51" s="16" t="n">
        <v>4965.21</v>
      </c>
      <c r="G51" s="16" t="n">
        <v>0</v>
      </c>
      <c r="H51" t="inlineStr">
        <is>
          <t>Dunedin</t>
        </is>
      </c>
      <c r="I51" t="inlineStr">
        <is>
          <t>Pinellas</t>
        </is>
      </c>
      <c r="J51" s="17" t="n">
        <v>0.06</v>
      </c>
      <c r="K51" s="16" t="n">
        <v>297.91</v>
      </c>
      <c r="L51" s="17" t="n">
        <v>0.01</v>
      </c>
      <c r="M51" s="16" t="n">
        <v>4965.21</v>
      </c>
      <c r="N51" s="16" t="n">
        <v>49.65</v>
      </c>
      <c r="O51" t="inlineStr">
        <is>
          <t>No</t>
        </is>
      </c>
      <c r="P51" s="16" t="n">
        <v>347.57</v>
      </c>
      <c r="Q51" s="16" t="n">
        <v>347.56</v>
      </c>
      <c r="R51" s="16" t="n">
        <v>0.01</v>
      </c>
    </row>
    <row r="52">
      <c r="A52" t="n">
        <v>48</v>
      </c>
      <c r="B52" t="inlineStr">
        <is>
          <t>2026-03-19</t>
        </is>
      </c>
      <c r="C52" t="inlineStr">
        <is>
          <t>#1370</t>
        </is>
      </c>
      <c r="D52" t="inlineStr">
        <is>
          <t>Draft Orders</t>
        </is>
      </c>
      <c r="E52" s="16" t="n">
        <v>1100</v>
      </c>
      <c r="F52" s="16" t="n">
        <v>1045</v>
      </c>
      <c r="G52" s="16" t="n">
        <v>55</v>
      </c>
      <c r="H52" t="inlineStr">
        <is>
          <t>Plant City</t>
        </is>
      </c>
      <c r="I52" t="inlineStr">
        <is>
          <t>Hillsborough</t>
        </is>
      </c>
      <c r="J52" s="17" t="n">
        <v>0.06</v>
      </c>
      <c r="K52" s="16" t="n">
        <v>62.7</v>
      </c>
      <c r="L52" s="17" t="n">
        <v>0.015</v>
      </c>
      <c r="M52" s="16" t="n">
        <v>1045</v>
      </c>
      <c r="N52" s="16" t="n">
        <v>15.68</v>
      </c>
      <c r="O52" t="inlineStr">
        <is>
          <t>No</t>
        </is>
      </c>
      <c r="P52" s="16" t="n">
        <v>78.38</v>
      </c>
      <c r="Q52" s="16" t="n">
        <v>78.38</v>
      </c>
      <c r="R52" s="16" t="n">
        <v>0</v>
      </c>
    </row>
    <row r="53">
      <c r="A53" t="n">
        <v>49</v>
      </c>
      <c r="B53" t="inlineStr">
        <is>
          <t>2026-03-19</t>
        </is>
      </c>
      <c r="C53" t="inlineStr">
        <is>
          <t>#1371</t>
        </is>
      </c>
      <c r="D53" t="inlineStr">
        <is>
          <t>Draft Orders</t>
        </is>
      </c>
      <c r="E53" s="16" t="n">
        <v>40</v>
      </c>
      <c r="F53" s="16" t="n">
        <v>40</v>
      </c>
      <c r="G53" s="16" t="n">
        <v>0</v>
      </c>
      <c r="H53" t="inlineStr">
        <is>
          <t>Riverview</t>
        </is>
      </c>
      <c r="I53" t="inlineStr">
        <is>
          <t>Hillsborough</t>
        </is>
      </c>
      <c r="J53" s="17" t="n">
        <v>0.06</v>
      </c>
      <c r="K53" s="16" t="n">
        <v>2.4</v>
      </c>
      <c r="L53" s="17" t="n">
        <v>0.015</v>
      </c>
      <c r="M53" s="16" t="n">
        <v>40</v>
      </c>
      <c r="N53" s="16" t="n">
        <v>0.6</v>
      </c>
      <c r="O53" t="inlineStr">
        <is>
          <t>No</t>
        </is>
      </c>
      <c r="P53" s="16" t="n">
        <v>3</v>
      </c>
      <c r="Q53" s="16" t="n">
        <v>3</v>
      </c>
      <c r="R53" s="16" t="n">
        <v>0</v>
      </c>
    </row>
    <row r="54">
      <c r="A54" t="n">
        <v>50</v>
      </c>
      <c r="B54" t="inlineStr">
        <is>
          <t>2026-03-19</t>
        </is>
      </c>
      <c r="C54" t="inlineStr">
        <is>
          <t>#1369</t>
        </is>
      </c>
      <c r="D54" t="inlineStr">
        <is>
          <t>Point of Sale</t>
        </is>
      </c>
      <c r="E54" s="16" t="n">
        <v>48</v>
      </c>
      <c r="F54" s="16" t="n">
        <v>45</v>
      </c>
      <c r="G54" s="16" t="n">
        <v>3</v>
      </c>
      <c r="H54" t="inlineStr">
        <is>
          <t>Plant City</t>
        </is>
      </c>
      <c r="I54" t="inlineStr">
        <is>
          <t>Hillsborough</t>
        </is>
      </c>
      <c r="J54" s="17" t="n">
        <v>0.06</v>
      </c>
      <c r="K54" s="16" t="n">
        <v>2.7</v>
      </c>
      <c r="L54" s="17" t="n">
        <v>0.015</v>
      </c>
      <c r="M54" s="16" t="n">
        <v>45</v>
      </c>
      <c r="N54" s="16" t="n">
        <v>0.68</v>
      </c>
      <c r="O54" t="inlineStr">
        <is>
          <t>No</t>
        </is>
      </c>
      <c r="P54" s="16" t="n">
        <v>3.38</v>
      </c>
      <c r="Q54" s="16" t="n">
        <v>3.38</v>
      </c>
      <c r="R54" s="16" t="n">
        <v>-3e-16</v>
      </c>
    </row>
    <row r="55">
      <c r="A55" t="n">
        <v>51</v>
      </c>
      <c r="B55" t="inlineStr">
        <is>
          <t>2026-03-21</t>
        </is>
      </c>
      <c r="C55" t="inlineStr">
        <is>
          <t>#1374</t>
        </is>
      </c>
      <c r="D55" t="inlineStr">
        <is>
          <t>Draft Orders</t>
        </is>
      </c>
      <c r="E55" s="16" t="n">
        <v>1050</v>
      </c>
      <c r="F55" s="16" t="n">
        <v>997.5</v>
      </c>
      <c r="G55" s="16" t="n">
        <v>52.5</v>
      </c>
      <c r="H55" t="inlineStr">
        <is>
          <t>Plant City</t>
        </is>
      </c>
      <c r="I55" t="inlineStr">
        <is>
          <t>Hillsborough</t>
        </is>
      </c>
      <c r="J55" s="17" t="n">
        <v>0.06</v>
      </c>
      <c r="K55" s="16" t="n">
        <v>59.85</v>
      </c>
      <c r="L55" s="17" t="n">
        <v>0.015</v>
      </c>
      <c r="M55" s="16" t="n">
        <v>997.5</v>
      </c>
      <c r="N55" s="16" t="n">
        <v>14.96</v>
      </c>
      <c r="O55" t="inlineStr">
        <is>
          <t>No</t>
        </is>
      </c>
      <c r="P55" s="16" t="n">
        <v>74.81</v>
      </c>
      <c r="Q55" s="16" t="n">
        <v>74.81</v>
      </c>
      <c r="R55" s="16" t="n">
        <v>0</v>
      </c>
    </row>
    <row r="56">
      <c r="A56" t="n">
        <v>52</v>
      </c>
      <c r="B56" t="inlineStr">
        <is>
          <t>2026-03-21</t>
        </is>
      </c>
      <c r="C56" t="inlineStr">
        <is>
          <t>#1374</t>
        </is>
      </c>
      <c r="D56" t="inlineStr">
        <is>
          <t>Draft Orders</t>
        </is>
      </c>
      <c r="E56" s="16" t="n">
        <v>700</v>
      </c>
      <c r="F56" s="16" t="n">
        <v>665</v>
      </c>
      <c r="G56" s="16" t="n">
        <v>35</v>
      </c>
      <c r="H56" t="inlineStr">
        <is>
          <t>Plant City</t>
        </is>
      </c>
      <c r="I56" t="inlineStr">
        <is>
          <t>Hillsborough</t>
        </is>
      </c>
      <c r="J56" s="17" t="n">
        <v>0.06</v>
      </c>
      <c r="K56" s="16" t="n">
        <v>39.9</v>
      </c>
      <c r="L56" s="17" t="n">
        <v>0.015</v>
      </c>
      <c r="M56" s="16" t="n">
        <v>665</v>
      </c>
      <c r="N56" s="16" t="n">
        <v>9.98</v>
      </c>
      <c r="O56" t="inlineStr">
        <is>
          <t>No</t>
        </is>
      </c>
      <c r="P56" s="16" t="n">
        <v>49.88</v>
      </c>
      <c r="Q56" s="16" t="n">
        <v>49.88</v>
      </c>
      <c r="R56" s="16" t="n">
        <v>5e-15</v>
      </c>
    </row>
    <row r="57">
      <c r="A57" t="n">
        <v>53</v>
      </c>
      <c r="B57" t="inlineStr">
        <is>
          <t>2026-03-21</t>
        </is>
      </c>
      <c r="C57" t="inlineStr">
        <is>
          <t>#1373</t>
        </is>
      </c>
      <c r="D57" t="inlineStr">
        <is>
          <t>Draft Orders</t>
        </is>
      </c>
      <c r="E57" s="16" t="n">
        <v>185.42</v>
      </c>
      <c r="F57" s="16" t="n">
        <v>185.42</v>
      </c>
      <c r="G57" s="16" t="n">
        <v>0</v>
      </c>
      <c r="H57" t="inlineStr">
        <is>
          <t>Plant City</t>
        </is>
      </c>
      <c r="I57" t="inlineStr">
        <is>
          <t>Hillsborough</t>
        </is>
      </c>
      <c r="J57" s="17" t="n">
        <v>0.06</v>
      </c>
      <c r="K57" s="16" t="n">
        <v>11.13</v>
      </c>
      <c r="L57" s="17" t="n">
        <v>0.015</v>
      </c>
      <c r="M57" s="16" t="n">
        <v>185.42</v>
      </c>
      <c r="N57" s="16" t="n">
        <v>2.78</v>
      </c>
      <c r="O57" t="inlineStr">
        <is>
          <t>No</t>
        </is>
      </c>
      <c r="P57" s="16" t="n">
        <v>13.91</v>
      </c>
      <c r="Q57" s="16" t="n">
        <v>13.91</v>
      </c>
      <c r="R57" s="16" t="n">
        <v>0</v>
      </c>
    </row>
    <row r="58">
      <c r="A58" t="n">
        <v>54</v>
      </c>
      <c r="B58" t="inlineStr">
        <is>
          <t>2026-03-21</t>
        </is>
      </c>
      <c r="C58" t="inlineStr">
        <is>
          <t>#1372</t>
        </is>
      </c>
      <c r="D58" t="inlineStr">
        <is>
          <t>Draft Orders</t>
        </is>
      </c>
      <c r="E58" s="16" t="n">
        <v>0</v>
      </c>
      <c r="F58" s="16" t="n">
        <v>-100</v>
      </c>
      <c r="G58" s="16" t="n">
        <v>100</v>
      </c>
      <c r="H58" t="inlineStr">
        <is>
          <t>Sarasota</t>
        </is>
      </c>
      <c r="I58" t="inlineStr">
        <is>
          <t>Sarasota</t>
        </is>
      </c>
      <c r="J58" s="17" t="n">
        <v>0.06</v>
      </c>
      <c r="K58" s="16" t="n">
        <v>-6</v>
      </c>
      <c r="L58" s="17" t="n">
        <v>0.01</v>
      </c>
      <c r="M58" s="16" t="n">
        <v>-100</v>
      </c>
      <c r="N58" s="16" t="n">
        <v>-1</v>
      </c>
      <c r="O58" t="inlineStr">
        <is>
          <t>No</t>
        </is>
      </c>
      <c r="P58" s="16" t="n">
        <v>-7</v>
      </c>
      <c r="Q58" s="16" t="n">
        <v>-7</v>
      </c>
      <c r="R58" s="16" t="n">
        <v>0</v>
      </c>
    </row>
    <row r="59">
      <c r="A59" t="n">
        <v>55</v>
      </c>
      <c r="B59" t="inlineStr">
        <is>
          <t>2026-03-21</t>
        </is>
      </c>
      <c r="C59" t="inlineStr">
        <is>
          <t>#1372</t>
        </is>
      </c>
      <c r="D59" t="inlineStr">
        <is>
          <t>Draft Orders</t>
        </is>
      </c>
      <c r="E59" s="16" t="n">
        <v>427.84</v>
      </c>
      <c r="F59" s="16" t="n">
        <v>24.18</v>
      </c>
      <c r="G59" s="16" t="n">
        <v>403.66</v>
      </c>
      <c r="H59" t="inlineStr">
        <is>
          <t>Sarasota</t>
        </is>
      </c>
      <c r="I59" t="inlineStr">
        <is>
          <t>Sarasota</t>
        </is>
      </c>
      <c r="J59" s="17" t="n">
        <v>0.06</v>
      </c>
      <c r="K59" s="16" t="n">
        <v>1.45</v>
      </c>
      <c r="L59" s="17" t="n">
        <v>0.01</v>
      </c>
      <c r="M59" s="16" t="n">
        <v>24.18</v>
      </c>
      <c r="N59" s="16" t="n">
        <v>0.24</v>
      </c>
      <c r="O59" t="inlineStr">
        <is>
          <t>No</t>
        </is>
      </c>
      <c r="P59" s="16" t="n">
        <v>1.69</v>
      </c>
      <c r="Q59" s="16" t="n">
        <v>1.69</v>
      </c>
      <c r="R59" s="16" t="n">
        <v>0</v>
      </c>
    </row>
    <row r="60">
      <c r="A60" t="n">
        <v>56</v>
      </c>
      <c r="B60" t="inlineStr">
        <is>
          <t>2026-03-21</t>
        </is>
      </c>
      <c r="C60" t="inlineStr">
        <is>
          <t>#1372</t>
        </is>
      </c>
      <c r="D60" t="inlineStr">
        <is>
          <t>Draft Orders</t>
        </is>
      </c>
      <c r="E60" s="16" t="n">
        <v>0</v>
      </c>
      <c r="F60" s="16" t="n">
        <v>100</v>
      </c>
      <c r="G60" s="16" t="n">
        <v>-100</v>
      </c>
      <c r="H60" t="inlineStr">
        <is>
          <t>Sarasota</t>
        </is>
      </c>
      <c r="I60" t="inlineStr">
        <is>
          <t>Sarasota</t>
        </is>
      </c>
      <c r="J60" s="17" t="n">
        <v>0.06</v>
      </c>
      <c r="K60" s="16" t="n">
        <v>6</v>
      </c>
      <c r="L60" s="17" t="n">
        <v>0.01</v>
      </c>
      <c r="M60" s="16" t="n">
        <v>100</v>
      </c>
      <c r="N60" s="16" t="n">
        <v>1</v>
      </c>
      <c r="O60" t="inlineStr">
        <is>
          <t>No</t>
        </is>
      </c>
      <c r="P60" s="16" t="n">
        <v>7</v>
      </c>
      <c r="Q60" s="16" t="n">
        <v>7</v>
      </c>
      <c r="R60" s="16" t="n">
        <v>0</v>
      </c>
    </row>
    <row r="61">
      <c r="A61" t="n">
        <v>57</v>
      </c>
      <c r="B61" t="inlineStr">
        <is>
          <t>2026-03-23</t>
        </is>
      </c>
      <c r="C61" t="inlineStr">
        <is>
          <t>#1378</t>
        </is>
      </c>
      <c r="D61" t="inlineStr">
        <is>
          <t>Point of Sale</t>
        </is>
      </c>
      <c r="E61" s="16" t="n">
        <v>16</v>
      </c>
      <c r="F61" s="16" t="n">
        <v>16</v>
      </c>
      <c r="G61" s="16" t="n">
        <v>0</v>
      </c>
      <c r="H61" t="inlineStr">
        <is>
          <t>Plant City</t>
        </is>
      </c>
      <c r="I61" t="inlineStr">
        <is>
          <t>Hillsborough</t>
        </is>
      </c>
      <c r="J61" s="17" t="n">
        <v>0.06</v>
      </c>
      <c r="K61" s="16" t="n">
        <v>0.96</v>
      </c>
      <c r="L61" s="17" t="n">
        <v>0.015</v>
      </c>
      <c r="M61" s="16" t="n">
        <v>16</v>
      </c>
      <c r="N61" s="16" t="n">
        <v>0.24</v>
      </c>
      <c r="O61" t="inlineStr">
        <is>
          <t>No</t>
        </is>
      </c>
      <c r="P61" s="16" t="n">
        <v>1.2</v>
      </c>
      <c r="Q61" s="16" t="n">
        <v>1.2</v>
      </c>
      <c r="R61" s="16" t="n">
        <v>0</v>
      </c>
    </row>
    <row r="62">
      <c r="A62" t="n">
        <v>58</v>
      </c>
      <c r="B62" t="inlineStr">
        <is>
          <t>2026-03-23</t>
        </is>
      </c>
      <c r="C62" t="inlineStr">
        <is>
          <t>#1380</t>
        </is>
      </c>
      <c r="D62" t="inlineStr">
        <is>
          <t>Draft Orders</t>
        </is>
      </c>
      <c r="E62" s="16" t="n">
        <v>4040.54</v>
      </c>
      <c r="F62" s="16" t="n">
        <v>4040.54</v>
      </c>
      <c r="G62" s="16" t="n">
        <v>0</v>
      </c>
      <c r="H62" t="inlineStr">
        <is>
          <t>Plant City</t>
        </is>
      </c>
      <c r="I62" t="inlineStr">
        <is>
          <t>Hillsborough</t>
        </is>
      </c>
      <c r="J62" s="17" t="n">
        <v>0.06</v>
      </c>
      <c r="K62" s="16" t="n">
        <v>242.43</v>
      </c>
      <c r="L62" s="17" t="n">
        <v>0.015</v>
      </c>
      <c r="M62" s="16" t="n">
        <v>4040.54</v>
      </c>
      <c r="N62" s="16" t="n">
        <v>60.61</v>
      </c>
      <c r="O62" t="inlineStr">
        <is>
          <t>No</t>
        </is>
      </c>
      <c r="P62" s="16" t="n">
        <v>303.04</v>
      </c>
      <c r="Q62" s="16" t="n">
        <v>303.04</v>
      </c>
      <c r="R62" s="16" t="n">
        <v>0</v>
      </c>
    </row>
    <row r="63">
      <c r="A63" t="n">
        <v>59</v>
      </c>
      <c r="B63" t="inlineStr">
        <is>
          <t>2026-03-23</t>
        </is>
      </c>
      <c r="C63" t="inlineStr">
        <is>
          <t>#1375</t>
        </is>
      </c>
      <c r="D63" t="inlineStr">
        <is>
          <t>Draft Orders</t>
        </is>
      </c>
      <c r="E63" s="16" t="n">
        <v>600</v>
      </c>
      <c r="F63" s="16" t="n">
        <v>570</v>
      </c>
      <c r="G63" s="16" t="n">
        <v>30</v>
      </c>
      <c r="H63" t="inlineStr">
        <is>
          <t>Plant City</t>
        </is>
      </c>
      <c r="I63" t="inlineStr">
        <is>
          <t>Hillsborough</t>
        </is>
      </c>
      <c r="J63" s="17" t="n">
        <v>0.06</v>
      </c>
      <c r="K63" s="16" t="n">
        <v>34.2</v>
      </c>
      <c r="L63" s="17" t="n">
        <v>0.015</v>
      </c>
      <c r="M63" s="16" t="n">
        <v>570</v>
      </c>
      <c r="N63" s="16" t="n">
        <v>8.550000000000001</v>
      </c>
      <c r="O63" t="inlineStr">
        <is>
          <t>No</t>
        </is>
      </c>
      <c r="P63" s="16" t="n">
        <v>42.75</v>
      </c>
      <c r="Q63" s="16" t="n">
        <v>42.75</v>
      </c>
      <c r="R63" s="16" t="n">
        <v>0</v>
      </c>
    </row>
    <row r="64">
      <c r="A64" t="n">
        <v>60</v>
      </c>
      <c r="B64" t="inlineStr">
        <is>
          <t>2026-03-23</t>
        </is>
      </c>
      <c r="C64" t="inlineStr">
        <is>
          <t>#1377</t>
        </is>
      </c>
      <c r="D64" t="inlineStr">
        <is>
          <t>Draft Orders</t>
        </is>
      </c>
      <c r="E64" s="16" t="n">
        <v>5826.24</v>
      </c>
      <c r="F64" s="16" t="n">
        <v>5000</v>
      </c>
      <c r="G64" s="16" t="n">
        <v>826.2399999999998</v>
      </c>
      <c r="H64" t="inlineStr">
        <is>
          <t>Plant City</t>
        </is>
      </c>
      <c r="I64" t="inlineStr">
        <is>
          <t>Hillsborough</t>
        </is>
      </c>
      <c r="J64" s="17" t="n">
        <v>0.06</v>
      </c>
      <c r="K64" s="16" t="n">
        <v>300</v>
      </c>
      <c r="L64" s="17" t="n">
        <v>0.015</v>
      </c>
      <c r="M64" s="16" t="n">
        <v>5000</v>
      </c>
      <c r="N64" s="16" t="n">
        <v>75</v>
      </c>
      <c r="O64" t="inlineStr">
        <is>
          <t>No</t>
        </is>
      </c>
      <c r="P64" s="16" t="n">
        <v>375</v>
      </c>
      <c r="Q64" s="16" t="n">
        <v>75</v>
      </c>
      <c r="R64" s="18" t="n">
        <v>300</v>
      </c>
    </row>
    <row r="65">
      <c r="A65" t="n">
        <v>61</v>
      </c>
      <c r="B65" t="inlineStr">
        <is>
          <t>2026-03-23</t>
        </is>
      </c>
      <c r="C65" t="inlineStr">
        <is>
          <t>#1376</t>
        </is>
      </c>
      <c r="D65" t="inlineStr">
        <is>
          <t>Draft Orders</t>
        </is>
      </c>
      <c r="E65" s="16" t="n">
        <v>90</v>
      </c>
      <c r="F65" s="16" t="n">
        <v>85.5</v>
      </c>
      <c r="G65" s="16" t="n">
        <v>4.5</v>
      </c>
      <c r="H65" t="inlineStr">
        <is>
          <t>Plant City</t>
        </is>
      </c>
      <c r="I65" t="inlineStr">
        <is>
          <t>Hillsborough</t>
        </is>
      </c>
      <c r="J65" s="17" t="n">
        <v>0.06</v>
      </c>
      <c r="K65" s="16" t="n">
        <v>5.13</v>
      </c>
      <c r="L65" s="17" t="n">
        <v>0.015</v>
      </c>
      <c r="M65" s="16" t="n">
        <v>85.5</v>
      </c>
      <c r="N65" s="16" t="n">
        <v>1.28</v>
      </c>
      <c r="O65" t="inlineStr">
        <is>
          <t>No</t>
        </is>
      </c>
      <c r="P65" s="16" t="n">
        <v>6.41</v>
      </c>
      <c r="Q65" s="16" t="n">
        <v>6.41</v>
      </c>
      <c r="R65" s="16" t="n">
        <v>0</v>
      </c>
    </row>
    <row r="66">
      <c r="A66" t="n">
        <v>62</v>
      </c>
      <c r="B66" t="inlineStr">
        <is>
          <t>2026-03-23</t>
        </is>
      </c>
      <c r="C66" t="inlineStr">
        <is>
          <t>#1377</t>
        </is>
      </c>
      <c r="D66" t="inlineStr">
        <is>
          <t>Draft Orders</t>
        </is>
      </c>
      <c r="E66" s="16" t="n">
        <v>0</v>
      </c>
      <c r="F66" s="16" t="n">
        <v>0</v>
      </c>
      <c r="G66" s="16" t="n">
        <v>0</v>
      </c>
      <c r="H66" t="inlineStr">
        <is>
          <t>Plant City</t>
        </is>
      </c>
      <c r="I66" t="inlineStr">
        <is>
          <t>Hillsborough</t>
        </is>
      </c>
      <c r="J66" s="17" t="n">
        <v>0.06</v>
      </c>
      <c r="K66" s="16" t="n">
        <v>0</v>
      </c>
      <c r="L66" s="17" t="n">
        <v>0.015</v>
      </c>
      <c r="M66" s="16" t="n">
        <v>0</v>
      </c>
      <c r="N66" s="16" t="n">
        <v>0</v>
      </c>
      <c r="O66" t="inlineStr">
        <is>
          <t>No</t>
        </is>
      </c>
      <c r="P66" s="16" t="n">
        <v>0</v>
      </c>
      <c r="Q66" s="16" t="n">
        <v>0</v>
      </c>
      <c r="R66" s="16" t="n">
        <v>0</v>
      </c>
    </row>
    <row r="67">
      <c r="A67" t="n">
        <v>63</v>
      </c>
      <c r="B67" t="inlineStr">
        <is>
          <t>2026-03-23</t>
        </is>
      </c>
      <c r="C67" t="inlineStr">
        <is>
          <t>#1379</t>
        </is>
      </c>
      <c r="D67" t="inlineStr">
        <is>
          <t>Draft Orders</t>
        </is>
      </c>
      <c r="E67" s="16" t="n">
        <v>198.84</v>
      </c>
      <c r="F67" s="16" t="n">
        <v>198.84</v>
      </c>
      <c r="G67" s="16" t="n">
        <v>0</v>
      </c>
      <c r="H67" t="inlineStr">
        <is>
          <t>Plant City</t>
        </is>
      </c>
      <c r="I67" t="inlineStr">
        <is>
          <t>Hillsborough</t>
        </is>
      </c>
      <c r="J67" s="17" t="n">
        <v>0.06</v>
      </c>
      <c r="K67" s="16" t="n">
        <v>11.93</v>
      </c>
      <c r="L67" s="17" t="n">
        <v>0.015</v>
      </c>
      <c r="M67" s="16" t="n">
        <v>198.84</v>
      </c>
      <c r="N67" s="16" t="n">
        <v>2.98</v>
      </c>
      <c r="O67" t="inlineStr">
        <is>
          <t>No</t>
        </is>
      </c>
      <c r="P67" s="16" t="n">
        <v>14.91</v>
      </c>
      <c r="Q67" s="16" t="n">
        <v>14.91</v>
      </c>
      <c r="R67" s="16" t="n">
        <v>0</v>
      </c>
    </row>
    <row r="68">
      <c r="A68" t="n">
        <v>64</v>
      </c>
      <c r="B68" t="inlineStr">
        <is>
          <t>2026-03-23</t>
        </is>
      </c>
      <c r="C68" t="inlineStr">
        <is>
          <t>#1377</t>
        </is>
      </c>
      <c r="D68" t="inlineStr">
        <is>
          <t>Draft Orders</t>
        </is>
      </c>
      <c r="E68" s="16" t="n">
        <v>5826.24</v>
      </c>
      <c r="F68" s="16" t="n">
        <v>5651.46</v>
      </c>
      <c r="G68" s="16" t="n">
        <v>174.7799999999997</v>
      </c>
      <c r="H68" t="inlineStr">
        <is>
          <t>Plant City</t>
        </is>
      </c>
      <c r="I68" t="inlineStr">
        <is>
          <t>Hillsborough</t>
        </is>
      </c>
      <c r="J68" s="17" t="n">
        <v>0.06</v>
      </c>
      <c r="K68" s="16" t="n">
        <v>339.09</v>
      </c>
      <c r="L68" s="17" t="n">
        <v>0.015</v>
      </c>
      <c r="M68" s="16" t="n">
        <v>5000</v>
      </c>
      <c r="N68" s="16" t="n">
        <v>75</v>
      </c>
      <c r="O68" t="inlineStr">
        <is>
          <t>Yes</t>
        </is>
      </c>
      <c r="P68" s="16" t="n">
        <v>414.09</v>
      </c>
      <c r="Q68" s="16" t="n">
        <v>339.09</v>
      </c>
      <c r="R68" s="18" t="n">
        <v>75</v>
      </c>
    </row>
    <row r="69">
      <c r="A69" t="n">
        <v>65</v>
      </c>
      <c r="B69" t="inlineStr">
        <is>
          <t>2026-03-23</t>
        </is>
      </c>
      <c r="C69" t="inlineStr">
        <is>
          <t>#1380</t>
        </is>
      </c>
      <c r="D69" t="inlineStr">
        <is>
          <t>Draft Orders</t>
        </is>
      </c>
      <c r="E69" s="16" t="n">
        <v>153.99</v>
      </c>
      <c r="F69" s="16" t="n">
        <v>153.99</v>
      </c>
      <c r="G69" s="16" t="n">
        <v>0</v>
      </c>
      <c r="H69" t="inlineStr">
        <is>
          <t>Plant City</t>
        </is>
      </c>
      <c r="I69" t="inlineStr">
        <is>
          <t>Hillsborough</t>
        </is>
      </c>
      <c r="J69" s="17" t="n">
        <v>0.06</v>
      </c>
      <c r="K69" s="16" t="n">
        <v>9.24</v>
      </c>
      <c r="L69" s="17" t="n">
        <v>0.015</v>
      </c>
      <c r="M69" s="16" t="n">
        <v>153.99</v>
      </c>
      <c r="N69" s="16" t="n">
        <v>2.31</v>
      </c>
      <c r="O69" t="inlineStr">
        <is>
          <t>No</t>
        </is>
      </c>
      <c r="P69" s="16" t="n">
        <v>11.55</v>
      </c>
      <c r="Q69" s="16" t="n">
        <v>11.55</v>
      </c>
      <c r="R69" s="16" t="n">
        <v>0</v>
      </c>
    </row>
    <row r="70">
      <c r="A70" t="n">
        <v>66</v>
      </c>
      <c r="B70" t="inlineStr">
        <is>
          <t>2026-03-23</t>
        </is>
      </c>
      <c r="C70" t="inlineStr">
        <is>
          <t>#1377</t>
        </is>
      </c>
      <c r="D70" t="inlineStr">
        <is>
          <t>Draft Orders</t>
        </is>
      </c>
      <c r="E70" s="16" t="n">
        <v>360.08</v>
      </c>
      <c r="F70" s="16" t="n">
        <v>349.28</v>
      </c>
      <c r="G70" s="16" t="n">
        <v>10.80000000000001</v>
      </c>
      <c r="H70" t="inlineStr">
        <is>
          <t>Plant City</t>
        </is>
      </c>
      <c r="I70" t="inlineStr">
        <is>
          <t>Hillsborough</t>
        </is>
      </c>
      <c r="J70" s="17" t="n">
        <v>0.06</v>
      </c>
      <c r="K70" s="16" t="n">
        <v>20.96</v>
      </c>
      <c r="L70" s="17" t="n">
        <v>0.015</v>
      </c>
      <c r="M70" s="16" t="n">
        <v>349.28</v>
      </c>
      <c r="N70" s="16" t="n">
        <v>5.24</v>
      </c>
      <c r="O70" t="inlineStr">
        <is>
          <t>No</t>
        </is>
      </c>
      <c r="P70" s="16" t="n">
        <v>26.2</v>
      </c>
      <c r="Q70" s="16" t="n">
        <v>26.2</v>
      </c>
      <c r="R70" s="16" t="n">
        <v>-3e-15</v>
      </c>
    </row>
    <row r="71">
      <c r="A71" t="n">
        <v>67</v>
      </c>
      <c r="B71" t="inlineStr">
        <is>
          <t>2026-03-24</t>
        </is>
      </c>
      <c r="C71" t="inlineStr">
        <is>
          <t>#1381</t>
        </is>
      </c>
      <c r="D71" t="inlineStr">
        <is>
          <t>Draft Orders</t>
        </is>
      </c>
      <c r="E71" s="16" t="n">
        <v>1221.55</v>
      </c>
      <c r="F71" s="16" t="n">
        <v>1197.12</v>
      </c>
      <c r="G71" s="16" t="n">
        <v>24.43000000000006</v>
      </c>
      <c r="H71" t="inlineStr">
        <is>
          <t>Bartow</t>
        </is>
      </c>
      <c r="I71" t="inlineStr">
        <is>
          <t>Polk</t>
        </is>
      </c>
      <c r="J71" s="17" t="n">
        <v>0.06</v>
      </c>
      <c r="K71" s="16" t="n">
        <v>71.83</v>
      </c>
      <c r="L71" s="17" t="n">
        <v>0.015</v>
      </c>
      <c r="M71" s="16" t="n">
        <v>1197.12</v>
      </c>
      <c r="N71" s="16" t="n">
        <v>17.96</v>
      </c>
      <c r="O71" t="inlineStr">
        <is>
          <t>No</t>
        </is>
      </c>
      <c r="P71" s="16" t="n">
        <v>89.78</v>
      </c>
      <c r="Q71" s="16" t="n">
        <v>83.8</v>
      </c>
      <c r="R71" s="18" t="n">
        <v>5.98</v>
      </c>
    </row>
    <row r="72">
      <c r="A72" t="n">
        <v>68</v>
      </c>
      <c r="B72" t="inlineStr">
        <is>
          <t>2026-03-24</t>
        </is>
      </c>
      <c r="C72" t="inlineStr">
        <is>
          <t>#1382</t>
        </is>
      </c>
      <c r="D72" t="inlineStr">
        <is>
          <t>Point of Sale</t>
        </is>
      </c>
      <c r="E72" s="16" t="n">
        <v>350</v>
      </c>
      <c r="F72" s="16" t="n">
        <v>350</v>
      </c>
      <c r="G72" s="16" t="n">
        <v>0</v>
      </c>
      <c r="H72" t="inlineStr">
        <is>
          <t>Plant City</t>
        </is>
      </c>
      <c r="I72" t="inlineStr">
        <is>
          <t>Hillsborough</t>
        </is>
      </c>
      <c r="J72" s="17" t="n">
        <v>0.06</v>
      </c>
      <c r="K72" s="16" t="n">
        <v>21</v>
      </c>
      <c r="L72" s="17" t="n">
        <v>0.015</v>
      </c>
      <c r="M72" s="16" t="n">
        <v>350</v>
      </c>
      <c r="N72" s="16" t="n">
        <v>5.25</v>
      </c>
      <c r="O72" t="inlineStr">
        <is>
          <t>No</t>
        </is>
      </c>
      <c r="P72" s="16" t="n">
        <v>26.25</v>
      </c>
      <c r="Q72" s="16" t="n">
        <v>26.25</v>
      </c>
      <c r="R72" s="16" t="n">
        <v>0</v>
      </c>
    </row>
    <row r="73">
      <c r="A73" t="n">
        <v>69</v>
      </c>
      <c r="B73" t="inlineStr">
        <is>
          <t>2026-03-24</t>
        </is>
      </c>
      <c r="C73" t="inlineStr">
        <is>
          <t>#1382</t>
        </is>
      </c>
      <c r="D73" t="inlineStr">
        <is>
          <t>Point of Sale</t>
        </is>
      </c>
      <c r="E73" s="16" t="n">
        <v>280</v>
      </c>
      <c r="F73" s="16" t="n">
        <v>280</v>
      </c>
      <c r="G73" s="16" t="n">
        <v>0</v>
      </c>
      <c r="H73" t="inlineStr">
        <is>
          <t>Plant City</t>
        </is>
      </c>
      <c r="I73" t="inlineStr">
        <is>
          <t>Hillsborough</t>
        </is>
      </c>
      <c r="J73" s="17" t="n">
        <v>0.06</v>
      </c>
      <c r="K73" s="16" t="n">
        <v>16.8</v>
      </c>
      <c r="L73" s="17" t="n">
        <v>0.015</v>
      </c>
      <c r="M73" s="16" t="n">
        <v>280</v>
      </c>
      <c r="N73" s="16" t="n">
        <v>4.2</v>
      </c>
      <c r="O73" t="inlineStr">
        <is>
          <t>No</t>
        </is>
      </c>
      <c r="P73" s="16" t="n">
        <v>21</v>
      </c>
      <c r="Q73" s="16" t="n">
        <v>21</v>
      </c>
      <c r="R73" s="16" t="n">
        <v>0</v>
      </c>
    </row>
    <row r="74">
      <c r="A74" t="n">
        <v>70</v>
      </c>
      <c r="B74" t="inlineStr">
        <is>
          <t>2026-03-25</t>
        </is>
      </c>
      <c r="C74" t="inlineStr">
        <is>
          <t>#1383</t>
        </is>
      </c>
      <c r="D74" t="inlineStr">
        <is>
          <t>Draft Orders</t>
        </is>
      </c>
      <c r="E74" s="16" t="n">
        <v>10</v>
      </c>
      <c r="F74" s="16" t="n">
        <v>9.5</v>
      </c>
      <c r="G74" s="16" t="n">
        <v>0.5</v>
      </c>
      <c r="H74" t="inlineStr">
        <is>
          <t>Temple Terr</t>
        </is>
      </c>
      <c r="I74" t="inlineStr">
        <is>
          <t>Hillsborough</t>
        </is>
      </c>
      <c r="J74" s="17" t="n">
        <v>0.06</v>
      </c>
      <c r="K74" s="16" t="n">
        <v>0.57</v>
      </c>
      <c r="L74" s="17" t="n">
        <v>0.015</v>
      </c>
      <c r="M74" s="16" t="n">
        <v>9.5</v>
      </c>
      <c r="N74" s="16" t="n">
        <v>0.14</v>
      </c>
      <c r="O74" t="inlineStr">
        <is>
          <t>No</t>
        </is>
      </c>
      <c r="P74" s="16" t="n">
        <v>0.71</v>
      </c>
      <c r="Q74" s="16" t="n">
        <v>0.71</v>
      </c>
      <c r="R74" s="16" t="n">
        <v>0</v>
      </c>
    </row>
    <row r="75">
      <c r="A75" t="n">
        <v>71</v>
      </c>
      <c r="B75" t="inlineStr">
        <is>
          <t>2026-03-25</t>
        </is>
      </c>
      <c r="C75" t="inlineStr">
        <is>
          <t>#1384</t>
        </is>
      </c>
      <c r="D75" t="inlineStr">
        <is>
          <t>Draft Orders</t>
        </is>
      </c>
      <c r="E75" s="16" t="n">
        <v>95.37</v>
      </c>
      <c r="F75" s="16" t="n">
        <v>95.37</v>
      </c>
      <c r="G75" s="16" t="n">
        <v>0</v>
      </c>
      <c r="H75" t="inlineStr">
        <is>
          <t>Plant City</t>
        </is>
      </c>
      <c r="I75" t="inlineStr">
        <is>
          <t>Hillsborough</t>
        </is>
      </c>
      <c r="J75" s="17" t="n">
        <v>0.06</v>
      </c>
      <c r="K75" s="16" t="n">
        <v>5.72</v>
      </c>
      <c r="L75" s="17" t="n">
        <v>0.015</v>
      </c>
      <c r="M75" s="16" t="n">
        <v>95.37</v>
      </c>
      <c r="N75" s="16" t="n">
        <v>1.43</v>
      </c>
      <c r="O75" t="inlineStr">
        <is>
          <t>No</t>
        </is>
      </c>
      <c r="P75" s="16" t="n">
        <v>7.15</v>
      </c>
      <c r="Q75" s="16" t="n">
        <v>7.149999999999999</v>
      </c>
      <c r="R75" s="16" t="n">
        <v>5e-16</v>
      </c>
    </row>
    <row r="76">
      <c r="A76" t="n">
        <v>72</v>
      </c>
      <c r="B76" t="inlineStr">
        <is>
          <t>2026-03-26</t>
        </is>
      </c>
      <c r="C76" t="inlineStr">
        <is>
          <t>#1385</t>
        </is>
      </c>
      <c r="D76" t="inlineStr">
        <is>
          <t>Draft Orders</t>
        </is>
      </c>
      <c r="E76" s="16" t="n">
        <v>0</v>
      </c>
      <c r="F76" s="16" t="n">
        <v>0</v>
      </c>
      <c r="G76" s="16" t="n">
        <v>0</v>
      </c>
      <c r="H76" t="inlineStr">
        <is>
          <t>Englewood</t>
        </is>
      </c>
      <c r="I76" t="inlineStr">
        <is>
          <t>Charlotte</t>
        </is>
      </c>
      <c r="J76" s="17" t="n">
        <v>0.06</v>
      </c>
      <c r="K76" s="16" t="n">
        <v>0</v>
      </c>
      <c r="L76" s="17" t="n">
        <v>0.01</v>
      </c>
      <c r="M76" s="16" t="n">
        <v>0</v>
      </c>
      <c r="N76" s="16" t="n">
        <v>0</v>
      </c>
      <c r="O76" t="inlineStr">
        <is>
          <t>No</t>
        </is>
      </c>
      <c r="P76" s="16" t="n">
        <v>0</v>
      </c>
      <c r="Q76" s="16" t="n">
        <v>0</v>
      </c>
      <c r="R76" s="16" t="n">
        <v>0</v>
      </c>
    </row>
    <row r="77">
      <c r="A77" t="n">
        <v>73</v>
      </c>
      <c r="B77" t="inlineStr">
        <is>
          <t>2026-03-26</t>
        </is>
      </c>
      <c r="C77" t="inlineStr">
        <is>
          <t>#1385</t>
        </is>
      </c>
      <c r="D77" t="inlineStr">
        <is>
          <t>Draft Orders</t>
        </is>
      </c>
      <c r="E77" s="16" t="n">
        <v>10738.05</v>
      </c>
      <c r="F77" s="16" t="n">
        <v>5000</v>
      </c>
      <c r="G77" s="16" t="n">
        <v>5738.049999999999</v>
      </c>
      <c r="H77" t="inlineStr">
        <is>
          <t>Englewood</t>
        </is>
      </c>
      <c r="I77" t="inlineStr">
        <is>
          <t>Charlotte</t>
        </is>
      </c>
      <c r="J77" s="17" t="n">
        <v>0.06</v>
      </c>
      <c r="K77" s="16" t="n">
        <v>300</v>
      </c>
      <c r="L77" s="17" t="n">
        <v>0.01</v>
      </c>
      <c r="M77" s="16" t="n">
        <v>5000</v>
      </c>
      <c r="N77" s="16" t="n">
        <v>50</v>
      </c>
      <c r="O77" t="inlineStr">
        <is>
          <t>No</t>
        </is>
      </c>
      <c r="P77" s="16" t="n">
        <v>350</v>
      </c>
      <c r="Q77" s="16" t="n">
        <v>50</v>
      </c>
      <c r="R77" s="18" t="n">
        <v>300</v>
      </c>
    </row>
    <row r="78">
      <c r="A78" t="n">
        <v>74</v>
      </c>
      <c r="B78" t="inlineStr">
        <is>
          <t>2026-03-26</t>
        </is>
      </c>
      <c r="C78" t="inlineStr">
        <is>
          <t>#1385</t>
        </is>
      </c>
      <c r="D78" t="inlineStr">
        <is>
          <t>Draft Orders</t>
        </is>
      </c>
      <c r="E78" s="16" t="n">
        <v>10738.05</v>
      </c>
      <c r="F78" s="16" t="n">
        <v>10738.05</v>
      </c>
      <c r="G78" s="16" t="n">
        <v>0</v>
      </c>
      <c r="H78" t="inlineStr">
        <is>
          <t>Englewood</t>
        </is>
      </c>
      <c r="I78" t="inlineStr"/>
      <c r="J78" s="17" t="n">
        <v>0.06</v>
      </c>
      <c r="K78" s="16" t="n">
        <v>644.28</v>
      </c>
      <c r="L78" s="17" t="n">
        <v>0.015</v>
      </c>
      <c r="M78" s="16" t="n">
        <v>5000</v>
      </c>
      <c r="N78" s="16" t="n">
        <v>75</v>
      </c>
      <c r="O78" t="inlineStr">
        <is>
          <t>Yes</t>
        </is>
      </c>
      <c r="P78" s="16" t="n">
        <v>719.28</v>
      </c>
      <c r="Q78" s="16" t="n">
        <v>644.28</v>
      </c>
      <c r="R78" s="18" t="n">
        <v>75</v>
      </c>
    </row>
    <row r="79">
      <c r="A79" t="n">
        <v>75</v>
      </c>
      <c r="B79" t="inlineStr">
        <is>
          <t>2026-03-27</t>
        </is>
      </c>
      <c r="C79" t="inlineStr">
        <is>
          <t>#1386</t>
        </is>
      </c>
      <c r="D79" t="inlineStr">
        <is>
          <t>Draft Orders</t>
        </is>
      </c>
      <c r="E79" s="16" t="n">
        <v>155.74</v>
      </c>
      <c r="F79" s="16" t="n">
        <v>155.74</v>
      </c>
      <c r="G79" s="16" t="n">
        <v>0</v>
      </c>
      <c r="H79" t="inlineStr">
        <is>
          <t>Plant City</t>
        </is>
      </c>
      <c r="I79" t="inlineStr">
        <is>
          <t>Hillsborough</t>
        </is>
      </c>
      <c r="J79" s="17" t="n">
        <v>0.06</v>
      </c>
      <c r="K79" s="16" t="n">
        <v>9.34</v>
      </c>
      <c r="L79" s="17" t="n">
        <v>0.015</v>
      </c>
      <c r="M79" s="16" t="n">
        <v>155.74</v>
      </c>
      <c r="N79" s="16" t="n">
        <v>2.34</v>
      </c>
      <c r="O79" t="inlineStr">
        <is>
          <t>No</t>
        </is>
      </c>
      <c r="P79" s="16" t="n">
        <v>11.68</v>
      </c>
      <c r="Q79" s="16" t="n">
        <v>11.68</v>
      </c>
      <c r="R79" s="16" t="n">
        <v>0</v>
      </c>
    </row>
    <row r="80">
      <c r="A80" t="n">
        <v>76</v>
      </c>
      <c r="B80" t="inlineStr">
        <is>
          <t>2026-03-27</t>
        </is>
      </c>
      <c r="C80" t="inlineStr">
        <is>
          <t>#1388</t>
        </is>
      </c>
      <c r="D80" t="inlineStr">
        <is>
          <t>Draft Orders</t>
        </is>
      </c>
      <c r="E80" s="16" t="n">
        <v>1600</v>
      </c>
      <c r="F80" s="16" t="n">
        <v>1520</v>
      </c>
      <c r="G80" s="16" t="n">
        <v>80</v>
      </c>
      <c r="H80" t="inlineStr">
        <is>
          <t>Plant City</t>
        </is>
      </c>
      <c r="I80" t="inlineStr">
        <is>
          <t>Hillsborough</t>
        </is>
      </c>
      <c r="J80" s="17" t="n">
        <v>0.06</v>
      </c>
      <c r="K80" s="16" t="n">
        <v>91.2</v>
      </c>
      <c r="L80" s="17" t="n">
        <v>0.015</v>
      </c>
      <c r="M80" s="16" t="n">
        <v>1520</v>
      </c>
      <c r="N80" s="16" t="n">
        <v>22.8</v>
      </c>
      <c r="O80" t="inlineStr">
        <is>
          <t>No</t>
        </is>
      </c>
      <c r="P80" s="16" t="n">
        <v>114</v>
      </c>
      <c r="Q80" s="16" t="n">
        <v>114</v>
      </c>
      <c r="R80" s="16" t="n">
        <v>0</v>
      </c>
    </row>
    <row r="81">
      <c r="A81" t="n">
        <v>77</v>
      </c>
      <c r="B81" t="inlineStr">
        <is>
          <t>2026-03-27</t>
        </is>
      </c>
      <c r="C81" t="inlineStr">
        <is>
          <t>#1387</t>
        </is>
      </c>
      <c r="D81" t="inlineStr">
        <is>
          <t>Draft Orders</t>
        </is>
      </c>
      <c r="E81" s="16" t="n">
        <v>119.16</v>
      </c>
      <c r="F81" s="16" t="n">
        <v>119.16</v>
      </c>
      <c r="G81" s="16" t="n">
        <v>0</v>
      </c>
      <c r="H81" t="inlineStr">
        <is>
          <t>Plant City</t>
        </is>
      </c>
      <c r="I81" t="inlineStr">
        <is>
          <t>Hillsborough</t>
        </is>
      </c>
      <c r="J81" s="17" t="n">
        <v>0.06</v>
      </c>
      <c r="K81" s="16" t="n">
        <v>7.15</v>
      </c>
      <c r="L81" s="17" t="n">
        <v>0.015</v>
      </c>
      <c r="M81" s="16" t="n">
        <v>119.16</v>
      </c>
      <c r="N81" s="16" t="n">
        <v>1.79</v>
      </c>
      <c r="O81" t="inlineStr">
        <is>
          <t>No</t>
        </is>
      </c>
      <c r="P81" s="16" t="n">
        <v>8.94</v>
      </c>
      <c r="Q81" s="16" t="n">
        <v>8.940000000000001</v>
      </c>
      <c r="R81" s="16" t="n">
        <v>-1e-15</v>
      </c>
    </row>
    <row r="82">
      <c r="A82" t="n">
        <v>78</v>
      </c>
      <c r="B82" t="inlineStr">
        <is>
          <t>2026-03-28</t>
        </is>
      </c>
      <c r="C82" t="inlineStr">
        <is>
          <t>#1390</t>
        </is>
      </c>
      <c r="D82" t="inlineStr">
        <is>
          <t>Draft Orders</t>
        </is>
      </c>
      <c r="E82" s="16" t="n">
        <v>0</v>
      </c>
      <c r="F82" s="16" t="n">
        <v>75</v>
      </c>
      <c r="G82" s="16" t="n">
        <v>-75</v>
      </c>
      <c r="H82" t="inlineStr">
        <is>
          <t>Spring Hill</t>
        </is>
      </c>
      <c r="I82" t="inlineStr">
        <is>
          <t>Hernando</t>
        </is>
      </c>
      <c r="J82" s="17" t="n">
        <v>0.06</v>
      </c>
      <c r="K82" s="16" t="n">
        <v>4.5</v>
      </c>
      <c r="L82" s="17" t="n">
        <v>0.005</v>
      </c>
      <c r="M82" s="16" t="n">
        <v>75</v>
      </c>
      <c r="N82" s="16" t="n">
        <v>0.38</v>
      </c>
      <c r="O82" t="inlineStr">
        <is>
          <t>No</t>
        </is>
      </c>
      <c r="P82" s="16" t="n">
        <v>4.88</v>
      </c>
      <c r="Q82" s="16" t="n">
        <v>4.88</v>
      </c>
      <c r="R82" s="16" t="n">
        <v>0</v>
      </c>
    </row>
    <row r="83">
      <c r="A83" t="n">
        <v>79</v>
      </c>
      <c r="B83" t="inlineStr">
        <is>
          <t>2026-03-28</t>
        </is>
      </c>
      <c r="C83" t="inlineStr">
        <is>
          <t>#1390</t>
        </is>
      </c>
      <c r="D83" t="inlineStr">
        <is>
          <t>Draft Orders</t>
        </is>
      </c>
      <c r="E83" s="16" t="n">
        <v>1400</v>
      </c>
      <c r="F83" s="16" t="n">
        <v>1330</v>
      </c>
      <c r="G83" s="16" t="n">
        <v>70</v>
      </c>
      <c r="H83" t="inlineStr">
        <is>
          <t>Spring Hill</t>
        </is>
      </c>
      <c r="I83" t="inlineStr">
        <is>
          <t>Hernando</t>
        </is>
      </c>
      <c r="J83" s="17" t="n">
        <v>0.06</v>
      </c>
      <c r="K83" s="16" t="n">
        <v>79.8</v>
      </c>
      <c r="L83" s="17" t="n">
        <v>0.005</v>
      </c>
      <c r="M83" s="16" t="n">
        <v>1330</v>
      </c>
      <c r="N83" s="16" t="n">
        <v>6.65</v>
      </c>
      <c r="O83" t="inlineStr">
        <is>
          <t>No</t>
        </is>
      </c>
      <c r="P83" s="16" t="n">
        <v>86.45</v>
      </c>
      <c r="Q83" s="16" t="n">
        <v>86.45</v>
      </c>
      <c r="R83" s="16" t="n">
        <v>0</v>
      </c>
    </row>
    <row r="84">
      <c r="A84" t="n">
        <v>80</v>
      </c>
      <c r="B84" t="inlineStr">
        <is>
          <t>2026-03-28</t>
        </is>
      </c>
      <c r="C84" t="inlineStr">
        <is>
          <t>#1389</t>
        </is>
      </c>
      <c r="D84" t="inlineStr">
        <is>
          <t>Point of Sale</t>
        </is>
      </c>
      <c r="E84" s="16" t="n">
        <v>80</v>
      </c>
      <c r="F84" s="16" t="n">
        <v>80</v>
      </c>
      <c r="G84" s="16" t="n">
        <v>0</v>
      </c>
      <c r="H84" t="inlineStr">
        <is>
          <t>Plant City</t>
        </is>
      </c>
      <c r="I84" t="inlineStr">
        <is>
          <t>Hillsborough</t>
        </is>
      </c>
      <c r="J84" s="17" t="n">
        <v>0.06</v>
      </c>
      <c r="K84" s="16" t="n">
        <v>4.8</v>
      </c>
      <c r="L84" s="17" t="n">
        <v>0.015</v>
      </c>
      <c r="M84" s="16" t="n">
        <v>80</v>
      </c>
      <c r="N84" s="16" t="n">
        <v>1.2</v>
      </c>
      <c r="O84" t="inlineStr">
        <is>
          <t>No</t>
        </is>
      </c>
      <c r="P84" s="16" t="n">
        <v>6</v>
      </c>
      <c r="Q84" s="16" t="n">
        <v>6</v>
      </c>
      <c r="R84" s="16" t="n">
        <v>0</v>
      </c>
    </row>
    <row r="85">
      <c r="A85" t="n">
        <v>81</v>
      </c>
      <c r="B85" t="inlineStr">
        <is>
          <t>2026-03-30</t>
        </is>
      </c>
      <c r="C85" t="inlineStr">
        <is>
          <t>#1391</t>
        </is>
      </c>
      <c r="D85" t="inlineStr">
        <is>
          <t>Draft Orders</t>
        </is>
      </c>
      <c r="E85" s="16" t="n">
        <v>20</v>
      </c>
      <c r="F85" s="16" t="n">
        <v>19</v>
      </c>
      <c r="G85" s="16" t="n">
        <v>1</v>
      </c>
      <c r="H85" t="inlineStr">
        <is>
          <t>Plant City</t>
        </is>
      </c>
      <c r="I85" t="inlineStr">
        <is>
          <t>Hillsborough</t>
        </is>
      </c>
      <c r="J85" s="17" t="n">
        <v>0.06</v>
      </c>
      <c r="K85" s="16" t="n">
        <v>1.14</v>
      </c>
      <c r="L85" s="17" t="n">
        <v>0.015</v>
      </c>
      <c r="M85" s="16" t="n">
        <v>19</v>
      </c>
      <c r="N85" s="16" t="n">
        <v>0.29</v>
      </c>
      <c r="O85" t="inlineStr">
        <is>
          <t>No</t>
        </is>
      </c>
      <c r="P85" s="16" t="n">
        <v>1.43</v>
      </c>
      <c r="Q85" s="16" t="n">
        <v>1.43</v>
      </c>
      <c r="R85" s="16" t="n">
        <v>0</v>
      </c>
    </row>
    <row r="87">
      <c r="A87" s="2" t="inlineStr">
        <is>
          <t>TOTALS</t>
        </is>
      </c>
      <c r="E87" s="19">
        <f>SUM(E5:E85)</f>
        <v/>
      </c>
      <c r="F87" s="19">
        <f>SUM(F5:F85)</f>
        <v/>
      </c>
      <c r="G87" s="19">
        <f>E87-F87</f>
        <v/>
      </c>
      <c r="K87" s="19">
        <f>SUM(K5:K85)</f>
        <v/>
      </c>
      <c r="N87" s="19">
        <f>SUM(N5:N85)</f>
        <v/>
      </c>
      <c r="P87" s="19">
        <f>SUM(P5:P85)</f>
        <v/>
      </c>
      <c r="Q87" s="19">
        <f>SUM(Q5:Q85)</f>
        <v/>
      </c>
      <c r="R87" s="19">
        <f>SUM(R5:R85)</f>
        <v/>
      </c>
    </row>
  </sheetData>
  <mergeCells count="3">
    <mergeCell ref="A87:D87"/>
    <mergeCell ref="A2:Q2"/>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10" customWidth="1" min="1" max="1"/>
  </cols>
  <sheetData>
    <row r="1" ht="22" customHeight="1">
      <c r="A1" s="20" t="inlineStr">
        <is>
          <t>How This DR-15 Was Calculated</t>
        </is>
      </c>
    </row>
    <row r="2" ht="30" customHeight="1">
      <c r="A2" s="12" t="inlineStr">
        <is>
          <t>This workbook is generated from a Shopify 'Sales by tax' export. The logic below documents every step so any reviewer, bookkeeper, or auditor can trace each number back to its source.</t>
        </is>
      </c>
    </row>
    <row r="3">
      <c r="A3" s="12" t="inlineStr"/>
    </row>
    <row r="4" ht="18" customHeight="1">
      <c r="A4" s="21" t="inlineStr">
        <is>
          <t>1. Loading and de-duplicating Shopify rows</t>
        </is>
      </c>
    </row>
    <row r="5" ht="30" customHeight="1">
      <c r="A5" s="12" t="inlineStr">
        <is>
          <t>Shopify exports ONE ROW PER TAX JURISDICTION. For a Florida sale in a surtax county, each line item produces 2 rows: one 'State' row (6% tax) and one 'County' row (county surtax). The app merges these pairs back into ONE transaction per line item so gross sales are not double-counted.</t>
        </is>
      </c>
    </row>
    <row r="6" ht="30" customHeight="1">
      <c r="A6" s="12" t="inlineStr">
        <is>
          <t>Grouping key: (order_number, line_item_id, date, taxable_amount, gross_sales). Using taxable + gross as part of the key correctly splits cases where one line_item_id has multiple distinct amounts (e.g. the same SKU sold at different prices).</t>
        </is>
      </c>
    </row>
    <row r="7" ht="22" customHeight="1">
      <c r="A7" s="12" t="inlineStr">
        <is>
          <t>In this run: 81 unique line items were produced after de-duplication.</t>
        </is>
      </c>
    </row>
    <row r="8">
      <c r="A8" s="12" t="inlineStr"/>
    </row>
    <row r="9" ht="18" customHeight="1">
      <c r="A9" s="21" t="inlineStr">
        <is>
          <t>2. Filtering out non-real rows</t>
        </is>
      </c>
    </row>
    <row r="10">
      <c r="A10" s="12" t="inlineStr">
        <is>
          <t>Two kinds of rows are skipped automatically:</t>
        </is>
      </c>
    </row>
    <row r="11" ht="30" customHeight="1">
      <c r="A11" s="22" t="inlineStr">
        <is>
          <t xml:space="preserve">  • Shopify 'ghost' / subtotal rows — rows with no order number AND no destination city (Shopify sometimes includes aggregates at the bottom of the export).</t>
        </is>
      </c>
    </row>
    <row r="12" ht="30" customHeight="1">
      <c r="A12" s="22" t="inlineStr">
        <is>
          <t xml:space="preserve">  • Non-Florida sales — rows where destination state is not Florida. Florida has no jurisdiction over these unless you have economic nexus in the destination state.</t>
        </is>
      </c>
    </row>
    <row r="13">
      <c r="A13" s="12" t="inlineStr"/>
    </row>
    <row r="14" ht="18" customHeight="1">
      <c r="A14" s="21" t="inlineStr">
        <is>
          <t>3. DR-15 Column 1 — Gross Sales</t>
        </is>
      </c>
    </row>
    <row r="15" ht="22" customHeight="1">
      <c r="A15" s="12" t="inlineStr">
        <is>
          <t>Formula: sum of Shopify's 'Gross sales on line items' column across all included line items.</t>
        </is>
      </c>
    </row>
    <row r="16">
      <c r="A16" s="12" t="inlineStr">
        <is>
          <t>This run: $91,888.71</t>
        </is>
      </c>
    </row>
    <row r="17">
      <c r="A17" s="12" t="inlineStr"/>
    </row>
    <row r="18" ht="18" customHeight="1">
      <c r="A18" s="21" t="inlineStr">
        <is>
          <t>4. DR-15 Column 3 — Taxable Amount</t>
        </is>
      </c>
    </row>
    <row r="19" ht="22" customHeight="1">
      <c r="A19" s="12" t="inlineStr">
        <is>
          <t>Formula: sum of Shopify's 'Taxable amount' column across all included line items.</t>
        </is>
      </c>
    </row>
    <row r="20" ht="30" customHeight="1">
      <c r="A20" s="12" t="inlineStr">
        <is>
          <t>We use Shopify's column directly rather than computing it ourselves because Shopify is the authoritative record of what was actually deemed taxable at checkout. FDOR will reconcile against this number on audit.</t>
        </is>
      </c>
    </row>
    <row r="21">
      <c r="A21" s="12" t="inlineStr">
        <is>
          <t>This run: $80,547.12</t>
        </is>
      </c>
    </row>
    <row r="22">
      <c r="A22" s="12" t="inlineStr"/>
    </row>
    <row r="23" ht="18" customHeight="1">
      <c r="A23" s="21" t="inlineStr">
        <is>
          <t>5. DR-15 Column 2 — Exempt Sales</t>
        </is>
      </c>
    </row>
    <row r="24">
      <c r="A24" s="12" t="inlineStr">
        <is>
          <t>Formula: Col 1 − Col 3 (Gross − Taxable).</t>
        </is>
      </c>
    </row>
    <row r="25">
      <c r="A25" s="12" t="inlineStr">
        <is>
          <t>This single number correctly absorbs:</t>
        </is>
      </c>
    </row>
    <row r="26">
      <c r="A26" s="22" t="inlineStr">
        <is>
          <t xml:space="preserve">  • Discounts (reduce taxable but keep gross)</t>
        </is>
      </c>
    </row>
    <row r="27">
      <c r="A27" s="22" t="inlineStr">
        <is>
          <t xml:space="preserve">  • Resale exemptions (customer had a DR-13)</t>
        </is>
      </c>
    </row>
    <row r="28">
      <c r="A28" s="22" t="inlineStr">
        <is>
          <t xml:space="preserve">  • Non-taxable categories</t>
        </is>
      </c>
    </row>
    <row r="29">
      <c r="A29" s="22" t="inlineStr">
        <is>
          <t xml:space="preserve">  • Return/refund credits (negative taxable, positive gross)</t>
        </is>
      </c>
    </row>
    <row r="30">
      <c r="A30" s="22" t="inlineStr">
        <is>
          <t xml:space="preserve">  • Out-of-state portions not subject to Florida tax</t>
        </is>
      </c>
    </row>
    <row r="31" ht="30" customHeight="1">
      <c r="A31" s="12" t="inlineStr">
        <is>
          <t>We chose this formula over summing Shopify's 'Exempt amount' column because that column alone doesn't capture discounts, shipping, or return offsets.</t>
        </is>
      </c>
    </row>
    <row r="32">
      <c r="A32" s="12" t="inlineStr">
        <is>
          <t>This run: $91,888.71 − $80,547.12 = $11,341.59</t>
        </is>
      </c>
    </row>
    <row r="33">
      <c r="A33" s="12" t="inlineStr"/>
    </row>
    <row r="34" ht="18" customHeight="1">
      <c r="A34" s="21" t="inlineStr">
        <is>
          <t>6. DR-15 Column 4 — Tax Due (per line item)</t>
        </is>
      </c>
    </row>
    <row r="35">
      <c r="A35" s="12" t="inlineStr">
        <is>
          <t>For EACH line item, the app independently computes:</t>
        </is>
      </c>
    </row>
    <row r="36">
      <c r="A36" s="22" t="inlineStr">
        <is>
          <t xml:space="preserve">  state_tax = taxable × 6%</t>
        </is>
      </c>
    </row>
    <row r="37" ht="22" customHeight="1">
      <c r="A37" s="22" t="inlineStr">
        <is>
          <t xml:space="preserve">  delivery_surtax_rate = rate for county where item was delivered</t>
        </is>
      </c>
    </row>
    <row r="38">
      <c r="A38" s="22" t="inlineStr">
        <is>
          <t xml:space="preserve">  if (single TPP item AND taxable &gt; $5,000):</t>
        </is>
      </c>
    </row>
    <row r="39">
      <c r="A39" s="22" t="inlineStr">
        <is>
          <t xml:space="preserve">      surtax_base = $5,000   ← Florida's single-item cap</t>
        </is>
      </c>
    </row>
    <row r="40">
      <c r="A40" s="22" t="inlineStr">
        <is>
          <t xml:space="preserve">  else:</t>
        </is>
      </c>
    </row>
    <row r="41">
      <c r="A41" s="22" t="inlineStr">
        <is>
          <t xml:space="preserve">      surtax_base = taxable</t>
        </is>
      </c>
    </row>
    <row r="42">
      <c r="A42" s="22" t="inlineStr">
        <is>
          <t xml:space="preserve">  surtax = surtax_base × delivery_surtax_rate</t>
        </is>
      </c>
    </row>
    <row r="43">
      <c r="A43" s="22" t="inlineStr">
        <is>
          <t xml:space="preserve">  total_tax = state_tax + surtax</t>
        </is>
      </c>
    </row>
    <row r="44" ht="30" customHeight="1">
      <c r="A44" s="12" t="inlineStr">
        <is>
          <t>Rounding follows Florida's DR-15N rule: carry to 3 decimals, round UP to next cent when third decimal &gt; 4.</t>
        </is>
      </c>
    </row>
    <row r="45">
      <c r="A45" s="12" t="inlineStr"/>
    </row>
    <row r="46" ht="18" customHeight="1">
      <c r="A46" s="21" t="inlineStr">
        <is>
          <t>7. Line 15(a) — Amount of Items Over $5,000</t>
        </is>
      </c>
    </row>
    <row r="47" ht="30" customHeight="1">
      <c r="A47" s="12" t="inlineStr">
        <is>
          <t>Tracks the portion of each single-TPP-item sale that exceeded $5,000 and therefore was excluded from surtax. For example, an $8,500 single item adds $3,500 to Line 15(a) (the portion above the $5k cap).</t>
        </is>
      </c>
    </row>
    <row r="48">
      <c r="A48" s="12" t="inlineStr">
        <is>
          <t>This run: $7,333.19</t>
        </is>
      </c>
    </row>
    <row r="49">
      <c r="A49" s="12" t="inlineStr"/>
    </row>
    <row r="50" ht="18" customHeight="1">
      <c r="A50" s="21" t="inlineStr">
        <is>
          <t>8. Line 15(c) — Amounts at a Different Surtax Rate</t>
        </is>
      </c>
    </row>
    <row r="51" ht="30" customHeight="1">
      <c r="A51" s="12" t="inlineStr">
        <is>
          <t>Any line item whose delivery county has a different surtax rate than your business county (Hillsborough, 1.50%) is reported here. This is required because out-of-county deliveries use destination-based surtax per FL rule 12A-15.008.</t>
        </is>
      </c>
    </row>
    <row r="52">
      <c r="A52" s="12" t="inlineStr">
        <is>
          <t>This run: $12,584.59</t>
        </is>
      </c>
    </row>
    <row r="53">
      <c r="A53" s="12" t="inlineStr"/>
    </row>
    <row r="54" ht="18" customHeight="1">
      <c r="A54" s="21" t="inlineStr">
        <is>
          <t>9. Line 15(d) — Total Discretionary Sales Surtax Due</t>
        </is>
      </c>
    </row>
    <row r="55" ht="30" customHeight="1">
      <c r="A55" s="12" t="inlineStr">
        <is>
          <t>Sum of per-transaction surtax amounts computed in step 6. This is the county portion only (state tax reported separately).</t>
        </is>
      </c>
    </row>
    <row r="56">
      <c r="A56" s="12" t="inlineStr">
        <is>
          <t>This run: $1,028.31</t>
        </is>
      </c>
    </row>
    <row r="57">
      <c r="A57" s="12" t="inlineStr"/>
    </row>
    <row r="58" ht="18" customHeight="1">
      <c r="A58" s="21" t="inlineStr">
        <is>
          <t>10. Line 11 — Collection Allowance</t>
        </is>
      </c>
    </row>
    <row r="59" ht="30" customHeight="1">
      <c r="A59" s="12" t="inlineStr">
        <is>
          <t>Florida grants a 2.5% collection allowance on the first $1,200 of tax due, capped at $30. Only available if return is filed AND paid electronically AND on time.</t>
        </is>
      </c>
    </row>
    <row r="60">
      <c r="A60" s="12" t="inlineStr">
        <is>
          <t>This run: $30.00</t>
        </is>
      </c>
    </row>
    <row r="61">
      <c r="A61" s="12" t="inlineStr"/>
    </row>
    <row r="62" ht="18" customHeight="1">
      <c r="A62" s="21" t="inlineStr">
        <is>
          <t>11. Shopify Collection Reconciliation</t>
        </is>
      </c>
    </row>
    <row r="63">
      <c r="A63" s="12" t="inlineStr">
        <is>
          <t>Two separate numbers are tracked:</t>
        </is>
      </c>
    </row>
    <row r="64">
      <c r="A64" s="22" t="inlineStr">
        <is>
          <t xml:space="preserve">  • Tax calculated by app = what Florida law requires</t>
        </is>
      </c>
    </row>
    <row r="65" ht="22" customHeight="1">
      <c r="A65" s="22" t="inlineStr">
        <is>
          <t xml:space="preserve">  • Tax collected by Shopify = sum of Shopify's 'Tax amount' column</t>
        </is>
      </c>
    </row>
    <row r="66" ht="30" customHeight="1">
      <c r="A66" s="12" t="inlineStr">
        <is>
          <t>Any gap means Shopify's configuration has drifted from the correct rates, or the $5k cap is being applied incorrectly (Shopify sometimes applies the cap per-order instead of per-line-item). You must remit the FULL calculated amount and absorb any shortfall.</t>
        </is>
      </c>
    </row>
    <row r="67" ht="22" customHeight="1">
      <c r="A67" s="12" t="inlineStr">
        <is>
          <t>This run: calculated $5,861.14 vs Shopify $4,702.12, gap $1,159.02</t>
        </is>
      </c>
    </row>
    <row r="68">
      <c r="A68" s="12" t="inlineStr"/>
    </row>
    <row r="69" ht="18" customHeight="1">
      <c r="A69" s="21" t="inlineStr">
        <is>
          <t>Reference to output file</t>
        </is>
      </c>
    </row>
    <row r="70" ht="22" customHeight="1">
      <c r="A70" s="12" t="inlineStr">
        <is>
          <t>• Sheet 'DR-15 Return' — the final filled form (matches the PDF).</t>
        </is>
      </c>
    </row>
    <row r="71" ht="30" customHeight="1">
      <c r="A71" s="12" t="inlineStr">
        <is>
          <t>• Sheet 'Line-by-Line Working' — every transaction with its own tax computation, per-row gap vs Shopify, and totals row.</t>
        </is>
      </c>
    </row>
    <row r="72">
      <c r="A72" s="12" t="inlineStr">
        <is>
          <t>• Sheet 'Methodology' — this sheet.</t>
        </is>
      </c>
    </row>
    <row r="73">
      <c r="A73" s="12" t="inlineStr"/>
    </row>
    <row r="74" ht="30" customHeight="1">
      <c r="A74" s="12" t="inlineStr">
        <is>
          <t>For audit defense: every number on Sheet 1 can be traced to summed columns on Sheet 2. Every computed value on Sheet 2 can be re-derived from the formulas documented here.</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2026-04-22T13:43:08Z</dcterms:created>
  <dcterms:modified xsi:type="dcterms:W3CDTF">2026-04-22T13:43:08Z</dcterms:modified>
</cp:coreProperties>
</file>