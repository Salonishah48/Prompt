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Sprline\WIP\May\W1 05.04\"/>
    </mc:Choice>
  </mc:AlternateContent>
  <xr:revisionPtr revIDLastSave="0" documentId="13_ncr:1_{2C4C5402-38BB-4D37-8AF9-C8A4A2136A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13" i="1" l="1"/>
  <c r="I14" i="1"/>
  <c r="I15" i="1"/>
  <c r="I16" i="1"/>
  <c r="I17" i="1"/>
  <c r="I10" i="1" l="1"/>
  <c r="I11" i="1"/>
  <c r="I12" i="1"/>
  <c r="I27" i="1"/>
  <c r="I26" i="1"/>
  <c r="I25" i="1"/>
  <c r="I24" i="1"/>
  <c r="I30" i="1" l="1"/>
  <c r="I9" i="1"/>
  <c r="I21" i="1" s="1"/>
  <c r="J21" i="1"/>
  <c r="J30" i="1"/>
  <c r="N21" i="1" l="1"/>
  <c r="M21" i="1"/>
  <c r="L21" i="1"/>
  <c r="K21" i="1"/>
  <c r="N30" i="1"/>
  <c r="M30" i="1"/>
  <c r="L30" i="1"/>
  <c r="K30" i="1"/>
  <c r="K6" i="1"/>
  <c r="L6" i="1" s="1"/>
  <c r="M6" i="1" s="1"/>
  <c r="N6" i="1" s="1"/>
  <c r="M32" i="1" l="1"/>
  <c r="M36" i="1" s="1"/>
  <c r="J32" i="1"/>
  <c r="J36" i="1" s="1"/>
  <c r="K32" i="1"/>
  <c r="K36" i="1" s="1"/>
  <c r="N32" i="1"/>
  <c r="L32" i="1"/>
  <c r="L36" i="1" s="1"/>
  <c r="I32" i="1"/>
</calcChain>
</file>

<file path=xl/sharedStrings.xml><?xml version="1.0" encoding="utf-8"?>
<sst xmlns="http://schemas.openxmlformats.org/spreadsheetml/2006/main" count="108" uniqueCount="84">
  <si>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</si>
  <si>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</si>
  <si>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</si>
  <si>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</si>
  <si>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</si>
  <si>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</si>
  <si>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</si>
  <si>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</si>
  <si>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</si>
  <si>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</si>
  <si>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</si>
  <si>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</si>
  <si>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</si>
  <si>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</si>
  <si>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</si>
  <si>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</si>
  <si>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</si>
  <si>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</si>
  <si>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</si>
  <si>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</si>
  <si>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</si>
  <si>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</si>
  <si>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</si>
  <si>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</si>
  <si>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</si>
  <si>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</si>
  <si>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</si>
  <si>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</si>
  <si>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</si>
  <si>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</si>
  <si>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</si>
  <si>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</si>
  <si>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</si>
  <si>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</si>
  <si>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</si>
  <si>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</si>
  <si>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</si>
  <si>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</si>
  <si>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</si>
  <si>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</si>
  <si>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</si>
  <si>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</si>
  <si>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</si>
  <si>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</si>
  <si>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</si>
  <si>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</si>
  <si>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</si>
  <si>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</si>
  <si>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</si>
  <si>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</si>
  <si>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</si>
  <si>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</si>
  <si>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</si>
  <si>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</si>
  <si>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</si>
  <si>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</si>
  <si>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</si>
  <si>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</si>
  <si>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</si>
  <si>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</si>
  <si>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</si>
  <si>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</si>
  <si>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</si>
  <si>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</si>
  <si>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</si>
  <si>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</si>
  <si>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</si>
  <si>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</si>
  <si>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</si>
  <si>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</si>
  <si>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</si>
  <si>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</si>
  <si>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</si>
  <si>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</si>
  <si>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Saloni Shah</t>
  </si>
  <si>
    <t>Manager</t>
  </si>
  <si>
    <t>Parshwa Vora</t>
  </si>
  <si>
    <t>Kanak Naturals</t>
  </si>
  <si>
    <t>Avira Global FZCO</t>
  </si>
  <si>
    <t>Pakway Ltd</t>
  </si>
  <si>
    <t>Kanak Naturals, LLC</t>
  </si>
  <si>
    <t>Future</t>
  </si>
  <si>
    <t>Kanak Export</t>
  </si>
  <si>
    <t>Clark &amp; Sons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</si>
</sst>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B2AA8E2-9400-4FAA-AB97-73463A1CB0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2E0EE3-7E0E-4189-8A06-D150F44F943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531b484e-b13e-4a7d-a92b-b8d838c8c2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zoomScaleNormal="100" workbookViewId="0">
      <pane xSplit="2" ySplit="7" topLeftCell="C28" activePane="bottomRight" state="frozen"/>
      <selection pane="topRight" activeCell="C1" sqref="C1"/>
      <selection pane="bottomLeft" activeCell="A7" sqref="A7"/>
      <selection pane="bottomRight" activeCell="J7" sqref="J7"/>
    </sheetView>
  </sheetViews>
  <sheetFormatPr defaultRowHeight="15" x14ac:dyDescent="0.25"/>
  <cols>
    <col min="1" max="1" width="6.42578125" customWidth="1"/>
    <col min="2" max="2" width="21.7109375" customWidth="1"/>
    <col min="3" max="3" width="17.42578125" customWidth="1"/>
    <col min="4" max="4" width="28.7109375" customWidth="1"/>
    <col min="5" max="5" width="11.7109375" customWidth="1"/>
    <col min="6" max="6" width="3.140625" customWidth="1"/>
    <col min="7" max="7" width="4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8" width="10.7109375" bestFit="1" customWidth="1"/>
  </cols>
  <sheetData>
    <row r="1" spans="1:18" x14ac:dyDescent="0.25">
      <c r="A1" s="1" t="s">
        <v>0</v>
      </c>
      <c r="H1" s="11"/>
    </row>
    <row r="2" spans="1:18" x14ac:dyDescent="0.25">
      <c r="A2" s="1" t="s">
        <v>1</v>
      </c>
      <c r="B2" s="9" t="s">
        <v>74</v>
      </c>
      <c r="C2" s="9"/>
      <c r="H2" s="1"/>
      <c r="I2" s="1"/>
      <c r="J2" s="10"/>
      <c r="K2" s="10"/>
      <c r="L2" s="10"/>
      <c r="M2" s="10"/>
    </row>
    <row r="3" spans="1:18" x14ac:dyDescent="0.25">
      <c r="A3" s="1" t="s">
        <v>2</v>
      </c>
      <c r="B3" s="9" t="s">
        <v>75</v>
      </c>
      <c r="C3" s="9"/>
      <c r="H3" s="1"/>
      <c r="I3" s="1"/>
      <c r="J3" s="10"/>
      <c r="K3" s="10"/>
      <c r="L3" s="10"/>
      <c r="M3" s="10"/>
    </row>
    <row r="4" spans="1:18" x14ac:dyDescent="0.25">
      <c r="A4" s="1" t="s">
        <v>3</v>
      </c>
      <c r="B4" s="9" t="s">
        <v>76</v>
      </c>
      <c r="C4" s="9"/>
      <c r="H4" s="1"/>
      <c r="I4" s="1"/>
      <c r="J4" s="10"/>
      <c r="K4" s="10"/>
      <c r="L4" s="10"/>
      <c r="M4" s="10"/>
    </row>
    <row r="5" spans="1:18" x14ac:dyDescent="0.25">
      <c r="A5" s="1"/>
      <c r="B5" s="9"/>
      <c r="C5" s="9"/>
    </row>
    <row r="6" spans="1:18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 t="shared" ref="N6" si="0">M6+7</f>
        <v>46174</v>
      </c>
      <c r="O6" s="2"/>
      <c r="P6" s="2"/>
      <c r="Q6" s="2"/>
      <c r="R6" s="2"/>
    </row>
    <row r="7" spans="1:18" s="1" customFormat="1" ht="30" x14ac:dyDescent="0.25">
      <c r="A7" s="3" t="s">
        <v>5</v>
      </c>
      <c r="B7" s="3" t="s">
        <v>6</v>
      </c>
      <c r="C7" s="3" t="s">
        <v>7</v>
      </c>
      <c r="D7" s="23" t="s">
        <v>39</v>
      </c>
      <c r="E7" s="3" t="s">
        <v>8</v>
      </c>
      <c r="F7" s="3" t="s">
        <v>9</v>
      </c>
      <c r="G7" s="3" t="s">
        <v>10</v>
      </c>
      <c r="H7" s="23" t="s">
        <v>11</v>
      </c>
      <c r="I7" s="2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81</v>
      </c>
    </row>
    <row r="8" spans="1:18" x14ac:dyDescent="0.25">
      <c r="A8" s="6" t="s">
        <v>17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8" x14ac:dyDescent="0.25">
      <c r="A9" s="29">
        <v>1</v>
      </c>
      <c r="B9" t="s">
        <v>80</v>
      </c>
      <c r="C9" t="s">
        <v>77</v>
      </c>
      <c r="D9" s="24" t="s">
        <v>51</v>
      </c>
      <c r="E9" s="2">
        <v>46113</v>
      </c>
      <c r="F9" s="2"/>
      <c r="G9" s="2"/>
      <c r="H9" s="24" t="s">
        <v>30</v>
      </c>
      <c r="I9" s="27">
        <f t="shared" ref="I9:I14" si="1">SUM(J9:M9)</f>
        <v>4</v>
      </c>
      <c r="J9" s="13">
        <v>2</v>
      </c>
      <c r="K9" s="13">
        <v>2</v>
      </c>
      <c r="L9" s="13"/>
      <c r="M9" s="13"/>
    </row>
    <row r="10" spans="1:18" x14ac:dyDescent="0.25">
      <c r="A10" s="29">
        <v>2</v>
      </c>
      <c r="B10" s="30" t="s">
        <v>82</v>
      </c>
      <c r="C10" s="30" t="s">
        <v>82</v>
      </c>
      <c r="D10" s="24" t="s">
        <v>51</v>
      </c>
      <c r="E10" s="2">
        <v>46113</v>
      </c>
      <c r="F10" s="2"/>
      <c r="G10" s="2"/>
      <c r="H10" s="24" t="s">
        <v>30</v>
      </c>
      <c r="I10" s="27">
        <f t="shared" si="1"/>
        <v>4</v>
      </c>
      <c r="J10" s="13">
        <v>2</v>
      </c>
      <c r="K10" s="13">
        <v>2</v>
      </c>
      <c r="L10" s="13"/>
      <c r="M10" s="13"/>
    </row>
    <row r="11" spans="1:18" x14ac:dyDescent="0.25">
      <c r="A11" s="29">
        <v>3</v>
      </c>
      <c r="B11" t="s">
        <v>78</v>
      </c>
      <c r="C11" t="s">
        <v>78</v>
      </c>
      <c r="D11" s="24" t="s">
        <v>51</v>
      </c>
      <c r="E11" s="2">
        <v>46113</v>
      </c>
      <c r="G11" s="2"/>
      <c r="H11" s="24" t="s">
        <v>30</v>
      </c>
      <c r="I11" s="27">
        <f t="shared" si="1"/>
        <v>7</v>
      </c>
      <c r="J11" s="13">
        <v>3</v>
      </c>
      <c r="K11" s="13">
        <v>4</v>
      </c>
      <c r="L11" s="13"/>
      <c r="M11" s="13"/>
    </row>
    <row r="12" spans="1:18" x14ac:dyDescent="0.25">
      <c r="A12" s="29">
        <v>4</v>
      </c>
      <c r="B12" t="s">
        <v>80</v>
      </c>
      <c r="C12" t="s">
        <v>77</v>
      </c>
      <c r="D12" s="24" t="s">
        <v>72</v>
      </c>
      <c r="E12" s="2">
        <v>46113</v>
      </c>
      <c r="F12" s="2"/>
      <c r="G12" s="2"/>
      <c r="H12" s="24" t="s">
        <v>30</v>
      </c>
      <c r="I12" s="27">
        <f t="shared" si="1"/>
        <v>5</v>
      </c>
      <c r="J12" s="13">
        <v>2</v>
      </c>
      <c r="K12" s="13">
        <v>3</v>
      </c>
      <c r="L12" s="13"/>
      <c r="M12" s="13"/>
    </row>
    <row r="13" spans="1:18" x14ac:dyDescent="0.25">
      <c r="A13" s="29">
        <v>5</v>
      </c>
      <c r="B13" t="s">
        <v>79</v>
      </c>
      <c r="C13" t="s">
        <v>79</v>
      </c>
      <c r="D13" s="24" t="s">
        <v>51</v>
      </c>
      <c r="E13" s="2">
        <v>46113</v>
      </c>
      <c r="G13" s="2"/>
      <c r="H13" s="24" t="s">
        <v>30</v>
      </c>
      <c r="I13" s="27">
        <f t="shared" si="1"/>
        <v>5</v>
      </c>
      <c r="J13" s="13">
        <v>4</v>
      </c>
      <c r="K13" s="13">
        <v>1</v>
      </c>
      <c r="L13" s="13"/>
      <c r="M13" s="13"/>
    </row>
    <row r="14" spans="1:18" x14ac:dyDescent="0.25">
      <c r="A14" s="29">
        <v>6</v>
      </c>
      <c r="B14" t="s">
        <v>79</v>
      </c>
      <c r="C14" t="s">
        <v>79</v>
      </c>
      <c r="D14" s="24" t="s">
        <v>72</v>
      </c>
      <c r="E14" s="2">
        <v>46113</v>
      </c>
      <c r="F14" s="2"/>
      <c r="G14" s="2"/>
      <c r="H14" s="24" t="s">
        <v>30</v>
      </c>
      <c r="I14" s="27">
        <f t="shared" si="1"/>
        <v>3</v>
      </c>
      <c r="J14" s="13">
        <v>2</v>
      </c>
      <c r="K14" s="13">
        <v>1</v>
      </c>
      <c r="L14" s="13"/>
      <c r="M14" s="13"/>
    </row>
    <row r="15" spans="1:18" x14ac:dyDescent="0.25">
      <c r="A15" s="29">
        <v>7</v>
      </c>
      <c r="B15" s="30" t="s">
        <v>83</v>
      </c>
      <c r="C15" s="30" t="s">
        <v>83</v>
      </c>
      <c r="D15" s="24" t="s">
        <v>51</v>
      </c>
      <c r="E15" s="2">
        <v>46113</v>
      </c>
      <c r="F15" s="2"/>
      <c r="G15" s="2"/>
      <c r="H15" s="24" t="s">
        <v>30</v>
      </c>
      <c r="I15" s="27">
        <f t="shared" ref="I15:I17" si="2">SUM(J15:N15)</f>
        <v>18</v>
      </c>
      <c r="J15" s="13">
        <v>8</v>
      </c>
      <c r="K15" s="13">
        <v>10</v>
      </c>
      <c r="L15" s="13"/>
      <c r="M15" s="13"/>
    </row>
    <row r="16" spans="1:18" x14ac:dyDescent="0.25">
      <c r="D16" s="24"/>
      <c r="E16" s="2"/>
      <c r="F16" s="2"/>
      <c r="G16" s="2"/>
      <c r="H16" s="24"/>
      <c r="I16" s="27">
        <f t="shared" si="2"/>
        <v>0</v>
      </c>
    </row>
    <row r="17" spans="1:14" x14ac:dyDescent="0.25">
      <c r="D17" s="24"/>
      <c r="E17" s="2"/>
      <c r="F17" s="2"/>
      <c r="G17" s="2"/>
      <c r="H17" s="24"/>
      <c r="I17" s="27">
        <f t="shared" si="2"/>
        <v>0</v>
      </c>
    </row>
    <row r="18" spans="1:14" x14ac:dyDescent="0.25">
      <c r="D18" s="24"/>
      <c r="E18" s="2"/>
      <c r="F18" s="2"/>
      <c r="G18" s="2"/>
      <c r="H18" s="24"/>
      <c r="I18" s="24"/>
    </row>
    <row r="19" spans="1:14" x14ac:dyDescent="0.25">
      <c r="D19" s="24"/>
      <c r="H19" s="24"/>
      <c r="I19" s="24"/>
    </row>
    <row r="20" spans="1:14" x14ac:dyDescent="0.25">
      <c r="D20" s="24"/>
      <c r="H20" s="24"/>
      <c r="I20" s="24"/>
    </row>
    <row r="21" spans="1:14" ht="15.75" thickBot="1" x14ac:dyDescent="0.3">
      <c r="A21" s="12" t="s">
        <v>19</v>
      </c>
      <c r="B21" s="8"/>
      <c r="C21" s="8"/>
      <c r="D21" s="8"/>
      <c r="E21" s="8"/>
      <c r="F21" s="8"/>
      <c r="G21" s="8"/>
      <c r="H21" s="8"/>
      <c r="I21" s="28">
        <f>SUM(I8:I20)</f>
        <v>46</v>
      </c>
      <c r="J21" s="14">
        <f t="shared" ref="J21:N21" si="3">SUM(J8:J20)</f>
        <v>23</v>
      </c>
      <c r="K21" s="14">
        <f t="shared" si="3"/>
        <v>23</v>
      </c>
      <c r="L21" s="14">
        <f t="shared" si="3"/>
        <v>0</v>
      </c>
      <c r="M21" s="14">
        <f t="shared" si="3"/>
        <v>0</v>
      </c>
      <c r="N21" s="14">
        <f t="shared" si="3"/>
        <v>0</v>
      </c>
    </row>
    <row r="22" spans="1:14" ht="15.75" thickTop="1" x14ac:dyDescent="0.25">
      <c r="I22" s="27"/>
      <c r="J22" s="13"/>
      <c r="K22" s="13"/>
      <c r="L22" s="13"/>
      <c r="M22" s="13"/>
      <c r="N22" s="13"/>
    </row>
    <row r="23" spans="1:14" x14ac:dyDescent="0.25">
      <c r="A23" s="1" t="s">
        <v>20</v>
      </c>
      <c r="I23" s="27"/>
      <c r="J23" s="13"/>
      <c r="K23" s="13"/>
      <c r="L23" s="13"/>
      <c r="M23" s="13"/>
      <c r="N23" s="13"/>
    </row>
    <row r="24" spans="1:14" x14ac:dyDescent="0.25">
      <c r="B24" t="s">
        <v>21</v>
      </c>
      <c r="I24" s="27">
        <f>SUM(J24:M24)</f>
        <v>2</v>
      </c>
      <c r="J24" s="13">
        <f>0.25*4</f>
        <v>1</v>
      </c>
      <c r="K24" s="13">
        <f t="shared" ref="K24" si="4">0.25*4</f>
        <v>1</v>
      </c>
      <c r="L24" s="13"/>
      <c r="M24" s="13"/>
    </row>
    <row r="25" spans="1:14" x14ac:dyDescent="0.25">
      <c r="B25" t="s">
        <v>22</v>
      </c>
      <c r="I25" s="27">
        <f>SUM(J25:M25)</f>
        <v>24</v>
      </c>
      <c r="J25" s="13">
        <v>12</v>
      </c>
      <c r="K25" s="13">
        <v>12</v>
      </c>
      <c r="L25" s="13"/>
      <c r="M25" s="13"/>
    </row>
    <row r="26" spans="1:14" x14ac:dyDescent="0.25">
      <c r="B26" t="s">
        <v>23</v>
      </c>
      <c r="I26" s="27">
        <f t="shared" ref="I26:I27" si="5">SUM(J26:N26)</f>
        <v>0</v>
      </c>
      <c r="J26" s="13"/>
      <c r="K26" s="13"/>
      <c r="L26" s="13"/>
      <c r="M26" s="13"/>
      <c r="N26" s="13"/>
    </row>
    <row r="27" spans="1:14" x14ac:dyDescent="0.25">
      <c r="B27" t="s">
        <v>24</v>
      </c>
      <c r="I27" s="27">
        <f t="shared" si="5"/>
        <v>0</v>
      </c>
      <c r="J27" s="13"/>
      <c r="K27" s="13"/>
      <c r="L27" s="13"/>
      <c r="M27" s="13"/>
      <c r="N27" s="13"/>
    </row>
    <row r="28" spans="1:14" x14ac:dyDescent="0.25">
      <c r="B28" t="s">
        <v>25</v>
      </c>
      <c r="I28" s="27"/>
      <c r="J28" s="13">
        <v>4</v>
      </c>
      <c r="K28" s="13">
        <v>4</v>
      </c>
      <c r="L28" s="13"/>
      <c r="M28" s="13"/>
      <c r="N28" s="13"/>
    </row>
    <row r="29" spans="1:14" x14ac:dyDescent="0.25">
      <c r="I29" s="24"/>
    </row>
    <row r="30" spans="1:14" ht="15.75" thickBot="1" x14ac:dyDescent="0.3">
      <c r="A30" s="12" t="s">
        <v>26</v>
      </c>
      <c r="B30" s="8"/>
      <c r="C30" s="8"/>
      <c r="D30" s="8"/>
      <c r="E30" s="8"/>
      <c r="F30" s="8"/>
      <c r="G30" s="8"/>
      <c r="H30" s="8"/>
      <c r="I30" s="28">
        <f>SUM(I24:I29)</f>
        <v>26</v>
      </c>
      <c r="J30" s="14">
        <f>SUM(J24:J29)</f>
        <v>17</v>
      </c>
      <c r="K30" s="14">
        <f t="shared" ref="K30:N30" si="6">SUM(K24:K29)</f>
        <v>17</v>
      </c>
      <c r="L30" s="14">
        <f t="shared" si="6"/>
        <v>0</v>
      </c>
      <c r="M30" s="14">
        <f t="shared" si="6"/>
        <v>0</v>
      </c>
      <c r="N30" s="14">
        <f t="shared" si="6"/>
        <v>0</v>
      </c>
    </row>
    <row r="31" spans="1:14" ht="15.75" thickTop="1" x14ac:dyDescent="0.25">
      <c r="I31" s="27"/>
      <c r="J31" s="13"/>
      <c r="K31" s="13"/>
      <c r="L31" s="13"/>
      <c r="M31" s="13"/>
      <c r="N31" s="13"/>
    </row>
    <row r="32" spans="1:14" ht="15.75" thickBot="1" x14ac:dyDescent="0.3">
      <c r="A32" s="12" t="s">
        <v>27</v>
      </c>
      <c r="B32" s="8"/>
      <c r="C32" s="8"/>
      <c r="D32" s="8"/>
      <c r="E32" s="8"/>
      <c r="F32" s="8"/>
      <c r="G32" s="8"/>
      <c r="H32" s="8"/>
      <c r="I32" s="28">
        <f>+I30+I21</f>
        <v>72</v>
      </c>
      <c r="J32" s="14">
        <f t="shared" ref="J32:N32" si="7">+J30+J21</f>
        <v>40</v>
      </c>
      <c r="K32" s="14">
        <f t="shared" si="7"/>
        <v>40</v>
      </c>
      <c r="L32" s="14">
        <f t="shared" si="7"/>
        <v>0</v>
      </c>
      <c r="M32" s="14">
        <f t="shared" si="7"/>
        <v>0</v>
      </c>
      <c r="N32" s="14">
        <f t="shared" si="7"/>
        <v>0</v>
      </c>
    </row>
    <row r="33" spans="1:14" ht="15.75" thickTop="1" x14ac:dyDescent="0.25">
      <c r="I33" s="24"/>
    </row>
    <row r="34" spans="1:14" x14ac:dyDescent="0.25">
      <c r="I34" s="24"/>
    </row>
    <row r="35" spans="1:14" ht="15.75" thickBot="1" x14ac:dyDescent="0.3">
      <c r="A35" s="12" t="s">
        <v>28</v>
      </c>
      <c r="B35" s="8"/>
      <c r="C35" s="8"/>
      <c r="D35" s="8"/>
      <c r="E35" s="8"/>
      <c r="F35" s="8"/>
      <c r="G35" s="8"/>
      <c r="H35" s="8"/>
      <c r="I35" s="28"/>
      <c r="J35" s="14">
        <v>40</v>
      </c>
      <c r="K35" s="14">
        <v>40</v>
      </c>
      <c r="L35" s="14">
        <v>40</v>
      </c>
      <c r="M35" s="14">
        <v>40</v>
      </c>
      <c r="N35" s="14"/>
    </row>
    <row r="36" spans="1:14" ht="16.5" thickTop="1" thickBot="1" x14ac:dyDescent="0.3">
      <c r="A36" s="12" t="s">
        <v>29</v>
      </c>
      <c r="B36" s="8"/>
      <c r="C36" s="8"/>
      <c r="D36" s="8"/>
      <c r="E36" s="8"/>
      <c r="F36" s="8"/>
      <c r="G36" s="8"/>
      <c r="H36" s="8"/>
      <c r="I36" s="28"/>
      <c r="J36" s="14">
        <f>+J35-J32</f>
        <v>0</v>
      </c>
      <c r="K36" s="14">
        <f t="shared" ref="K36:M36" si="8">+K35-K32</f>
        <v>0</v>
      </c>
      <c r="L36" s="14">
        <f t="shared" si="8"/>
        <v>40</v>
      </c>
      <c r="M36" s="14">
        <f t="shared" si="8"/>
        <v>40</v>
      </c>
      <c r="N36" s="14"/>
    </row>
    <row r="37" spans="1:14" ht="15.75" thickTop="1" x14ac:dyDescent="0.25"/>
  </sheetData>
  <protectedRanges>
    <protectedRange sqref="E16:F20 B19:C20 A8:XFD8 C16:C18 A9:A20 J24:M25 F11:F15 H9:I9 G10:I20 O9:XFD20 J16:N20 A24:I29 O24:XFD29 J26:N29 M9:M14 M15:N15 J9:L15" name="Range1"/>
    <protectedRange sqref="B16:B18 B12:C14 B9:C10" name="Range1_1"/>
    <protectedRange sqref="D9:D20" name="Range1_2"/>
    <protectedRange sqref="E9:G9 F10 E10:E15" name="Range1_3"/>
    <protectedRange sqref="B15:C15" name="Range1_1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H9:H20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7" workbookViewId="0">
      <selection activeCell="C16" sqref="C16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19" t="s">
        <v>46</v>
      </c>
      <c r="C4" s="20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19" t="s">
        <v>41</v>
      </c>
      <c r="C6" s="20" t="s">
        <v>50</v>
      </c>
    </row>
    <row r="7" spans="2:3" x14ac:dyDescent="0.25">
      <c r="B7" s="19" t="s">
        <v>51</v>
      </c>
      <c r="C7" s="20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72</v>
      </c>
      <c r="C10" s="20" t="s">
        <v>73</v>
      </c>
    </row>
    <row r="11" spans="2:3" x14ac:dyDescent="0.25">
      <c r="B11" s="19" t="s">
        <v>55</v>
      </c>
      <c r="C11" s="20" t="s">
        <v>56</v>
      </c>
    </row>
    <row r="15" spans="2:3" ht="16.5" x14ac:dyDescent="0.25">
      <c r="B15" s="22" t="s">
        <v>57</v>
      </c>
      <c r="C15" s="22" t="s">
        <v>44</v>
      </c>
    </row>
    <row r="16" spans="2:3" x14ac:dyDescent="0.25">
      <c r="B16" s="21" t="s">
        <v>30</v>
      </c>
      <c r="C16" s="20" t="s">
        <v>58</v>
      </c>
    </row>
    <row r="17" spans="2:3" x14ac:dyDescent="0.25">
      <c r="B17" s="21" t="s">
        <v>59</v>
      </c>
      <c r="C17" s="20" t="s">
        <v>60</v>
      </c>
    </row>
    <row r="18" spans="2:3" x14ac:dyDescent="0.25">
      <c r="B18" s="21" t="s">
        <v>38</v>
      </c>
      <c r="C18" s="20" t="s">
        <v>61</v>
      </c>
    </row>
    <row r="19" spans="2:3" x14ac:dyDescent="0.25">
      <c r="B19" s="21" t="s">
        <v>18</v>
      </c>
      <c r="C19" s="20" t="s">
        <v>62</v>
      </c>
    </row>
    <row r="20" spans="2:3" x14ac:dyDescent="0.25">
      <c r="B20" s="21" t="s">
        <v>31</v>
      </c>
      <c r="C20" s="20" t="s">
        <v>63</v>
      </c>
    </row>
    <row r="21" spans="2:3" x14ac:dyDescent="0.25">
      <c r="B21" s="21" t="s">
        <v>32</v>
      </c>
      <c r="C21" s="20" t="s">
        <v>64</v>
      </c>
    </row>
    <row r="22" spans="2:3" x14ac:dyDescent="0.25">
      <c r="B22" s="21" t="s">
        <v>65</v>
      </c>
      <c r="C22" s="20" t="s">
        <v>66</v>
      </c>
    </row>
    <row r="23" spans="2:3" x14ac:dyDescent="0.25">
      <c r="B23" s="21" t="s">
        <v>37</v>
      </c>
      <c r="C23" s="20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Saloni Shah</cp:lastModifiedBy>
  <cp:revision/>
  <dcterms:created xsi:type="dcterms:W3CDTF">2015-06-05T18:17:20Z</dcterms:created>
  <dcterms:modified xsi:type="dcterms:W3CDTF">2026-05-04T09:19:27Z</dcterms:modified>
  <cp:category/>
  <cp:contentStatus/>
</cp:coreProperties>
</file>