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Firoz Shaikh\"/>
    </mc:Choice>
  </mc:AlternateContent>
  <xr:revisionPtr revIDLastSave="0" documentId="13_ncr:1_{C57C4ED2-7ED4-4B70-9EA0-AEDF92BE06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0" i="1"/>
  <c r="I11" i="1"/>
  <c r="I12" i="1"/>
  <c r="I9" i="1"/>
  <c r="K22" i="1"/>
  <c r="J22" i="1"/>
  <c r="I36" i="1"/>
  <c r="I29" i="1"/>
  <c r="K31" i="1"/>
  <c r="J31" i="1"/>
  <c r="I28" i="1"/>
  <c r="I27" i="1"/>
  <c r="I26" i="1"/>
  <c r="I25" i="1"/>
  <c r="K6" i="1"/>
  <c r="L6" i="1" s="1"/>
  <c r="M6" i="1" s="1"/>
  <c r="I22" i="1" l="1"/>
  <c r="I31" i="1"/>
  <c r="J33" i="1" l="1"/>
  <c r="J37" i="1" s="1"/>
  <c r="I33" i="1"/>
  <c r="I37" i="1" s="1"/>
  <c r="N22" i="1"/>
  <c r="M22" i="1"/>
  <c r="L22" i="1"/>
  <c r="N31" i="1"/>
  <c r="M31" i="1"/>
  <c r="L31" i="1"/>
  <c r="M33" i="1" l="1"/>
  <c r="M37" i="1" s="1"/>
  <c r="K33" i="1"/>
  <c r="K37" i="1" s="1"/>
  <c r="N33" i="1"/>
  <c r="L33" i="1"/>
  <c r="L37" i="1" s="1"/>
</calcChain>
</file>

<file path=xl/sharedStrings.xml><?xml version="1.0" encoding="utf-8"?>
<sst xmlns="http://schemas.openxmlformats.org/spreadsheetml/2006/main" count="113" uniqueCount="90">
  <si>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</si>
  <si>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</si>
  <si>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</si>
  <si>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</si>
  <si>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</si>
  <si>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</si>
  <si>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</si>
  <si>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</si>
  <si>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</si>
  <si>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</si>
  <si>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</si>
  <si>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</si>
  <si>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</si>
  <si>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</si>
  <si>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</si>
  <si>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</si>
  <si>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</si>
  <si>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</si>
  <si>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</si>
  <si>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</si>
  <si>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Admin</t>
  </si>
  <si>
    <t>Bookkeeping Management</t>
  </si>
  <si>
    <t>Total of Billable hours</t>
  </si>
  <si>
    <t>Non Billable hours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</si>
  <si>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</si>
  <si>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</si>
  <si>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</si>
  <si>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</si>
  <si>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</si>
  <si>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</si>
  <si>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</si>
  <si>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</si>
  <si>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</si>
  <si>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</si>
  <si>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</si>
  <si>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</si>
  <si>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</si>
  <si>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</si>
  <si>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</si>
  <si>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</si>
  <si>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</si>
  <si>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</si>
  <si>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</si>
  <si>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</si>
  <si>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</si>
  <si>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</si>
  <si>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</si>
  <si>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</si>
  <si>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</si>
  <si>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meetings and communicaiton related work</t>
  </si>
  <si>
    <t>Account Status</t>
  </si>
  <si>
    <t>Not Started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</si>
  <si>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</si>
  <si>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</si>
  <si>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</si>
  <si>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</si>
  <si>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</si>
  <si>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</si>
  <si>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</si>
  <si>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</si>
  <si>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</si>
  <si>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</si>
  <si>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</si>
  <si>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</si>
  <si>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</si>
  <si>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</si>
  <si>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</si>
  <si>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</si>
  <si>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</si>
  <si>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</si>
  <si>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</si>
  <si>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</si>
  <si>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</si>
  <si>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</si>
  <si>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</si>
  <si>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Senior</t>
  </si>
  <si>
    <t>Firoz Shaikh</t>
  </si>
  <si>
    <t>Akil Mansuri</t>
  </si>
  <si>
    <t>Prints and Signs International LLC</t>
  </si>
  <si>
    <t>Print &amp; Sign</t>
  </si>
  <si>
    <t>SPRLINE CONSULTANCY PRIVATE LIMITED</t>
  </si>
  <si>
    <t>Palma Financial</t>
  </si>
  <si>
    <t>Bay Business Group LLC</t>
  </si>
  <si>
    <t>Veer Corporation INC</t>
  </si>
  <si>
    <t>Clark &amp; Sons Inc.</t>
  </si>
  <si>
    <t>Matthew Blumberg CPA PLLC</t>
  </si>
  <si>
    <t>Kanak Naturals, LLC</t>
  </si>
  <si>
    <t>Kanak Export</t>
  </si>
  <si>
    <t>TSC Enterprise, LLC</t>
  </si>
  <si>
    <t>Kanak Pakway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</si>
</sst>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Normal="100" workbookViewId="0">
      <pane xSplit="2" ySplit="7" topLeftCell="D8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24.5703125" bestFit="1" customWidth="1"/>
    <col min="2" max="2" width="35.5703125" customWidth="1"/>
    <col min="3" max="3" width="19.5703125" customWidth="1"/>
    <col min="4" max="4" width="41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77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10" t="s">
        <v>75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10" t="s">
        <v>76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46143</v>
      </c>
      <c r="K6" s="27">
        <f>J6+7</f>
        <v>46150</v>
      </c>
      <c r="L6" s="2">
        <f>K6+7</f>
        <v>46157</v>
      </c>
      <c r="M6" s="2">
        <f>L6+7</f>
        <v>46164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9</v>
      </c>
      <c r="E7" s="3" t="s">
        <v>10</v>
      </c>
      <c r="F7" s="3" t="s">
        <v>11</v>
      </c>
      <c r="G7" s="3" t="s">
        <v>12</v>
      </c>
      <c r="H7" s="24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4" t="s">
        <v>5</v>
      </c>
    </row>
    <row r="8" spans="1:14" x14ac:dyDescent="0.25">
      <c r="A8" s="7" t="s">
        <v>19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78</v>
      </c>
      <c r="C9" t="s">
        <v>79</v>
      </c>
      <c r="D9" s="25" t="s">
        <v>35</v>
      </c>
      <c r="E9" s="2">
        <v>46143</v>
      </c>
      <c r="F9" s="2">
        <v>46150</v>
      </c>
      <c r="G9" s="2"/>
      <c r="H9" s="25" t="s">
        <v>57</v>
      </c>
      <c r="I9" s="14">
        <f>SUM(J9:M9)</f>
        <v>58</v>
      </c>
      <c r="J9" s="14">
        <v>33</v>
      </c>
      <c r="K9" s="14">
        <v>25</v>
      </c>
      <c r="L9" s="14"/>
      <c r="M9" s="14"/>
      <c r="N9" s="14"/>
    </row>
    <row r="10" spans="1:14" x14ac:dyDescent="0.25">
      <c r="A10">
        <v>2</v>
      </c>
      <c r="B10" t="s">
        <v>78</v>
      </c>
      <c r="C10" t="s">
        <v>79</v>
      </c>
      <c r="D10" s="25" t="s">
        <v>42</v>
      </c>
      <c r="E10" s="2">
        <v>46143</v>
      </c>
      <c r="F10" s="2">
        <v>46150</v>
      </c>
      <c r="G10" s="2"/>
      <c r="H10" s="25" t="s">
        <v>57</v>
      </c>
      <c r="I10" s="14">
        <f>SUM(J10:M10)</f>
        <v>3</v>
      </c>
      <c r="J10" s="14">
        <v>2</v>
      </c>
      <c r="K10" s="14">
        <v>1</v>
      </c>
      <c r="L10" s="14"/>
      <c r="M10" s="14"/>
      <c r="N10" s="14"/>
    </row>
    <row r="11" spans="1:14" x14ac:dyDescent="0.25">
      <c r="A11">
        <v>3</v>
      </c>
      <c r="B11" t="s">
        <v>78</v>
      </c>
      <c r="C11" t="s">
        <v>79</v>
      </c>
      <c r="D11" s="25" t="s">
        <v>21</v>
      </c>
      <c r="E11" s="2">
        <v>46143</v>
      </c>
      <c r="F11" s="2">
        <v>46150</v>
      </c>
      <c r="G11" s="2"/>
      <c r="H11" s="25" t="s">
        <v>57</v>
      </c>
      <c r="I11" s="14">
        <f>SUM(J11:M11)</f>
        <v>7</v>
      </c>
      <c r="J11" s="14">
        <v>5</v>
      </c>
      <c r="K11" s="14">
        <v>2</v>
      </c>
      <c r="L11" s="14"/>
      <c r="M11" s="14"/>
      <c r="N11" s="14"/>
    </row>
    <row r="12" spans="1:14" x14ac:dyDescent="0.25">
      <c r="A12">
        <v>4</v>
      </c>
      <c r="B12" t="s">
        <v>78</v>
      </c>
      <c r="C12" t="s">
        <v>79</v>
      </c>
      <c r="D12" s="25" t="s">
        <v>44</v>
      </c>
      <c r="E12" s="2">
        <v>46143</v>
      </c>
      <c r="F12" s="2">
        <v>46150</v>
      </c>
      <c r="G12" s="2"/>
      <c r="H12" s="25" t="s">
        <v>57</v>
      </c>
      <c r="I12" s="14">
        <f>SUM(J12:M12)</f>
        <v>2</v>
      </c>
      <c r="J12" s="14">
        <v>0</v>
      </c>
      <c r="K12" s="14">
        <v>2</v>
      </c>
      <c r="L12" s="14"/>
      <c r="M12" s="14"/>
      <c r="N12" s="14"/>
    </row>
    <row r="13" spans="1:14" x14ac:dyDescent="0.25">
      <c r="A13">
        <v>5</v>
      </c>
      <c r="B13" t="s">
        <v>78</v>
      </c>
      <c r="C13" t="s">
        <v>79</v>
      </c>
      <c r="D13" s="25" t="s">
        <v>40</v>
      </c>
      <c r="E13" s="2">
        <v>46143</v>
      </c>
      <c r="F13" s="2">
        <v>46150</v>
      </c>
      <c r="H13" s="25" t="s">
        <v>57</v>
      </c>
      <c r="I13" s="14">
        <f>SUM(J13:M13)</f>
        <v>10</v>
      </c>
      <c r="J13" s="14">
        <v>0</v>
      </c>
      <c r="K13" s="14">
        <v>10</v>
      </c>
    </row>
    <row r="14" spans="1:14" x14ac:dyDescent="0.25">
      <c r="D14" s="25"/>
      <c r="H14" s="25"/>
    </row>
    <row r="15" spans="1:14" x14ac:dyDescent="0.25">
      <c r="D15" s="25"/>
      <c r="H15" s="25"/>
    </row>
    <row r="16" spans="1:14" x14ac:dyDescent="0.25">
      <c r="D16" s="25"/>
      <c r="H16" s="25"/>
    </row>
    <row r="17" spans="1:14" x14ac:dyDescent="0.25">
      <c r="D17" s="25"/>
      <c r="H17" s="25"/>
    </row>
    <row r="18" spans="1:14" x14ac:dyDescent="0.25">
      <c r="D18" s="25"/>
      <c r="H18" s="25"/>
    </row>
    <row r="19" spans="1:14" x14ac:dyDescent="0.25">
      <c r="D19" s="25"/>
      <c r="H19" s="25"/>
    </row>
    <row r="20" spans="1:14" x14ac:dyDescent="0.25">
      <c r="D20" s="25"/>
      <c r="H20" s="25"/>
    </row>
    <row r="21" spans="1:14" x14ac:dyDescent="0.25">
      <c r="D21" s="25"/>
      <c r="H21" s="25"/>
    </row>
    <row r="22" spans="1:14" ht="15.75" thickBot="1" x14ac:dyDescent="0.3">
      <c r="A22" s="13" t="s">
        <v>22</v>
      </c>
      <c r="B22" s="9"/>
      <c r="C22" s="9"/>
      <c r="D22" s="9"/>
      <c r="E22" s="9"/>
      <c r="F22" s="9"/>
      <c r="G22" s="9"/>
      <c r="H22" s="9"/>
      <c r="I22" s="15">
        <f>SUM(I8:I19)</f>
        <v>80</v>
      </c>
      <c r="J22" s="15">
        <f>SUM(J8:J19)</f>
        <v>40</v>
      </c>
      <c r="K22" s="15">
        <f>SUM(K8:K19)</f>
        <v>40</v>
      </c>
      <c r="L22" s="15">
        <f t="shared" ref="L22:N22" si="0">SUM(L8:L19)</f>
        <v>0</v>
      </c>
      <c r="M22" s="15">
        <f t="shared" si="0"/>
        <v>0</v>
      </c>
      <c r="N22" s="15">
        <f t="shared" si="0"/>
        <v>0</v>
      </c>
    </row>
    <row r="23" spans="1:14" ht="15.75" thickTop="1" x14ac:dyDescent="0.25">
      <c r="I23" s="14"/>
      <c r="J23" s="14"/>
      <c r="K23" s="14"/>
      <c r="L23" s="14"/>
      <c r="M23" s="14"/>
      <c r="N23" s="14"/>
    </row>
    <row r="24" spans="1:14" x14ac:dyDescent="0.25">
      <c r="A24" s="1" t="s">
        <v>23</v>
      </c>
      <c r="I24" s="14"/>
      <c r="J24" s="14"/>
      <c r="K24" s="14"/>
      <c r="L24" s="14"/>
      <c r="M24" s="14"/>
      <c r="N24" s="14"/>
    </row>
    <row r="25" spans="1:14" x14ac:dyDescent="0.25">
      <c r="B25" t="s">
        <v>20</v>
      </c>
      <c r="I25" s="14">
        <f>SUM(J25:M25)</f>
        <v>0</v>
      </c>
      <c r="J25" s="14"/>
      <c r="K25" s="14"/>
      <c r="L25" s="14"/>
      <c r="M25" s="14"/>
      <c r="N25" s="14"/>
    </row>
    <row r="26" spans="1:14" x14ac:dyDescent="0.25">
      <c r="B26" t="s">
        <v>24</v>
      </c>
      <c r="I26" s="14">
        <f>SUM(J26:M26)</f>
        <v>0</v>
      </c>
      <c r="J26" s="14"/>
      <c r="K26" s="14"/>
      <c r="L26" s="14"/>
      <c r="M26" s="14"/>
      <c r="N26" s="14"/>
    </row>
    <row r="27" spans="1:14" x14ac:dyDescent="0.25">
      <c r="B27" t="s">
        <v>25</v>
      </c>
      <c r="I27" s="14">
        <f>SUM(J27:M27)</f>
        <v>0</v>
      </c>
      <c r="J27" s="14"/>
      <c r="L27" s="14"/>
      <c r="M27" s="14"/>
      <c r="N27" s="14"/>
    </row>
    <row r="28" spans="1:14" x14ac:dyDescent="0.25">
      <c r="B28" t="s">
        <v>26</v>
      </c>
      <c r="I28" s="14">
        <f>SUM(J28:M28)</f>
        <v>0</v>
      </c>
      <c r="J28" s="14"/>
      <c r="K28" s="14"/>
      <c r="L28" s="14"/>
      <c r="M28" s="14"/>
      <c r="N28" s="14"/>
    </row>
    <row r="29" spans="1:14" x14ac:dyDescent="0.25">
      <c r="B29" t="s">
        <v>27</v>
      </c>
      <c r="I29" s="14">
        <f>SUM(J29:M29)</f>
        <v>0</v>
      </c>
      <c r="J29" s="14"/>
      <c r="K29" s="14"/>
      <c r="L29" s="14"/>
      <c r="M29" s="14"/>
      <c r="N29" s="14"/>
    </row>
    <row r="31" spans="1:14" ht="15.75" thickBot="1" x14ac:dyDescent="0.3">
      <c r="A31" s="13" t="s">
        <v>28</v>
      </c>
      <c r="B31" s="9"/>
      <c r="C31" s="9"/>
      <c r="D31" s="9"/>
      <c r="E31" s="9"/>
      <c r="F31" s="9"/>
      <c r="G31" s="9"/>
      <c r="H31" s="9"/>
      <c r="I31" s="15">
        <f>SUM(I25:I30)</f>
        <v>0</v>
      </c>
      <c r="J31" s="15">
        <f>SUM(J25:J30)</f>
        <v>0</v>
      </c>
      <c r="K31" s="15">
        <f>SUM(K25:K30)</f>
        <v>0</v>
      </c>
      <c r="L31" s="15">
        <f t="shared" ref="L31:N31" si="1">SUM(L25:L30)</f>
        <v>0</v>
      </c>
      <c r="M31" s="15">
        <f t="shared" si="1"/>
        <v>0</v>
      </c>
      <c r="N31" s="15">
        <f t="shared" si="1"/>
        <v>0</v>
      </c>
    </row>
    <row r="32" spans="1:14" ht="15.75" thickTop="1" x14ac:dyDescent="0.25">
      <c r="I32" s="14"/>
      <c r="J32" s="14"/>
      <c r="K32" s="14"/>
      <c r="L32" s="14"/>
      <c r="M32" s="14"/>
      <c r="N32" s="14"/>
    </row>
    <row r="33" spans="1:14" ht="15.75" thickBot="1" x14ac:dyDescent="0.3">
      <c r="A33" s="13" t="s">
        <v>29</v>
      </c>
      <c r="B33" s="9"/>
      <c r="C33" s="9"/>
      <c r="D33" s="9"/>
      <c r="E33" s="9"/>
      <c r="F33" s="9"/>
      <c r="G33" s="9"/>
      <c r="H33" s="9"/>
      <c r="I33" s="15">
        <f>+I31+I22</f>
        <v>80</v>
      </c>
      <c r="J33" s="15">
        <f>+J31+J22</f>
        <v>40</v>
      </c>
      <c r="K33" s="15">
        <f t="shared" ref="K33:N33" si="2">+K31+K22</f>
        <v>40</v>
      </c>
      <c r="L33" s="15">
        <f t="shared" si="2"/>
        <v>0</v>
      </c>
      <c r="M33" s="15">
        <f t="shared" si="2"/>
        <v>0</v>
      </c>
      <c r="N33" s="15">
        <f t="shared" si="2"/>
        <v>0</v>
      </c>
    </row>
    <row r="34" spans="1:14" ht="15.75" thickTop="1" x14ac:dyDescent="0.25"/>
    <row r="36" spans="1:14" ht="15.75" thickBot="1" x14ac:dyDescent="0.3">
      <c r="A36" s="13" t="s">
        <v>30</v>
      </c>
      <c r="B36" s="9"/>
      <c r="C36" s="9"/>
      <c r="D36" s="9"/>
      <c r="E36" s="9"/>
      <c r="F36" s="9"/>
      <c r="G36" s="9"/>
      <c r="H36" s="9"/>
      <c r="I36" s="15">
        <f>SUM(J36:M36)</f>
        <v>80</v>
      </c>
      <c r="J36" s="15">
        <v>40</v>
      </c>
      <c r="K36" s="15">
        <v>40</v>
      </c>
      <c r="L36" s="15">
        <v>0</v>
      </c>
      <c r="M36" s="15">
        <v>0</v>
      </c>
      <c r="N36" s="15"/>
    </row>
    <row r="37" spans="1:14" ht="16.5" thickTop="1" thickBot="1" x14ac:dyDescent="0.3">
      <c r="A37" s="13" t="s">
        <v>31</v>
      </c>
      <c r="B37" s="9"/>
      <c r="C37" s="9"/>
      <c r="D37" s="9"/>
      <c r="E37" s="9"/>
      <c r="F37" s="9"/>
      <c r="G37" s="9"/>
      <c r="H37" s="9"/>
      <c r="I37" s="15">
        <f>+I36-I33</f>
        <v>0</v>
      </c>
      <c r="J37" s="15">
        <f>+J36-J33</f>
        <v>0</v>
      </c>
      <c r="K37" s="15">
        <f>+K36-K33</f>
        <v>0</v>
      </c>
      <c r="L37" s="15">
        <f t="shared" ref="L37:M37" si="3">+L36-L33</f>
        <v>0</v>
      </c>
      <c r="M37" s="15">
        <f t="shared" si="3"/>
        <v>0</v>
      </c>
      <c r="N37" s="15"/>
    </row>
    <row r="38" spans="1:14" ht="15.75" thickTop="1" x14ac:dyDescent="0.25"/>
  </sheetData>
  <protectedRanges>
    <protectedRange sqref="A8:XFD8 B15:B21 A20:A21 C14:C21 L25:XFD30 K28:K30 K25:K26 E14:XFD21 A25:J30 A9:A18 G9:XFD13" name="Range1"/>
    <protectedRange sqref="B9:B14 C9:C13" name="Range1_1"/>
    <protectedRange sqref="D9:D21" name="Range1_2"/>
    <protectedRange sqref="E9:F13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BA8BDB-53D6-49C3-ABCC-E46D7EAA39F8}">
          <x14:formula1>
            <xm:f>Status!$B$15:$B$22</xm:f>
          </x14:formula1>
          <xm:sqref>H9:H21</xm:sqref>
        </x14:dataValidation>
        <x14:dataValidation type="list" allowBlank="1" showInputMessage="1" showErrorMessage="1" xr:uid="{477E9492-0757-4148-ABBB-6EC6E83F516C}">
          <x14:formula1>
            <xm:f>Status!$B$3:$B$10</xm:f>
          </x14:formula1>
          <xm:sqref>D9:D21</xm:sqref>
        </x14:dataValidation>
        <x14:dataValidation type="list" allowBlank="1" showInputMessage="1" showErrorMessage="1" xr:uid="{D570EA9F-2AFC-4479-B6B6-E59190CAF172}">
          <x14:formula1>
            <xm:f>Status!$B$26:$B$37</xm:f>
          </x14:formula1>
          <xm:sqref>B7:B1048576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7"/>
  <sheetViews>
    <sheetView topLeftCell="A20" workbookViewId="0">
      <selection activeCell="B26" sqref="B26:B3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9</v>
      </c>
      <c r="C2" s="23" t="s">
        <v>32</v>
      </c>
    </row>
    <row r="3" spans="2:3" x14ac:dyDescent="0.25">
      <c r="B3" s="20" t="s">
        <v>33</v>
      </c>
      <c r="C3" s="21" t="s">
        <v>34</v>
      </c>
    </row>
    <row r="4" spans="2:3" x14ac:dyDescent="0.25">
      <c r="B4" s="20" t="s">
        <v>35</v>
      </c>
      <c r="C4" s="21" t="s">
        <v>36</v>
      </c>
    </row>
    <row r="5" spans="2:3" x14ac:dyDescent="0.25">
      <c r="B5" s="20" t="s">
        <v>37</v>
      </c>
      <c r="C5" s="21" t="s">
        <v>38</v>
      </c>
    </row>
    <row r="6" spans="2:3" x14ac:dyDescent="0.25">
      <c r="B6" s="20" t="s">
        <v>21</v>
      </c>
      <c r="C6" s="21" t="s">
        <v>39</v>
      </c>
    </row>
    <row r="7" spans="2:3" x14ac:dyDescent="0.25">
      <c r="B7" s="20" t="s">
        <v>40</v>
      </c>
      <c r="C7" s="21" t="s">
        <v>41</v>
      </c>
    </row>
    <row r="8" spans="2:3" x14ac:dyDescent="0.25">
      <c r="B8" s="20" t="s">
        <v>42</v>
      </c>
      <c r="C8" s="21" t="s">
        <v>43</v>
      </c>
    </row>
    <row r="9" spans="2:3" x14ac:dyDescent="0.25">
      <c r="B9" s="20" t="s">
        <v>44</v>
      </c>
      <c r="C9" s="21" t="s">
        <v>45</v>
      </c>
    </row>
    <row r="10" spans="2:3" x14ac:dyDescent="0.25">
      <c r="B10" s="20" t="s">
        <v>46</v>
      </c>
      <c r="C10" s="21" t="s">
        <v>47</v>
      </c>
    </row>
    <row r="11" spans="2:3" x14ac:dyDescent="0.25">
      <c r="B11" s="20" t="s">
        <v>48</v>
      </c>
      <c r="C11" s="21" t="s">
        <v>49</v>
      </c>
    </row>
    <row r="12" spans="2:3" x14ac:dyDescent="0.25">
      <c r="B12" s="1"/>
    </row>
    <row r="14" spans="2:3" ht="16.5" x14ac:dyDescent="0.25">
      <c r="B14" s="23" t="s">
        <v>50</v>
      </c>
      <c r="C14" s="23" t="s">
        <v>32</v>
      </c>
    </row>
    <row r="15" spans="2:3" x14ac:dyDescent="0.25">
      <c r="B15" s="22" t="s">
        <v>51</v>
      </c>
      <c r="C15" s="21" t="s">
        <v>52</v>
      </c>
    </row>
    <row r="16" spans="2:3" x14ac:dyDescent="0.25">
      <c r="B16" s="22" t="s">
        <v>53</v>
      </c>
      <c r="C16" s="21" t="s">
        <v>54</v>
      </c>
    </row>
    <row r="17" spans="2:3" x14ac:dyDescent="0.25">
      <c r="B17" s="22" t="s">
        <v>55</v>
      </c>
      <c r="C17" s="21" t="s">
        <v>56</v>
      </c>
    </row>
    <row r="18" spans="2:3" x14ac:dyDescent="0.25">
      <c r="B18" s="22" t="s">
        <v>57</v>
      </c>
      <c r="C18" s="21" t="s">
        <v>58</v>
      </c>
    </row>
    <row r="19" spans="2:3" x14ac:dyDescent="0.25">
      <c r="B19" s="22" t="s">
        <v>59</v>
      </c>
      <c r="C19" s="21" t="s">
        <v>60</v>
      </c>
    </row>
    <row r="20" spans="2:3" x14ac:dyDescent="0.25">
      <c r="B20" s="22" t="s">
        <v>61</v>
      </c>
      <c r="C20" s="21" t="s">
        <v>62</v>
      </c>
    </row>
    <row r="21" spans="2:3" x14ac:dyDescent="0.25">
      <c r="B21" s="22" t="s">
        <v>63</v>
      </c>
      <c r="C21" s="21" t="s">
        <v>64</v>
      </c>
    </row>
    <row r="22" spans="2:3" x14ac:dyDescent="0.25">
      <c r="B22" s="22" t="s">
        <v>65</v>
      </c>
      <c r="C22" s="21" t="s">
        <v>66</v>
      </c>
    </row>
    <row r="26" spans="2:3" x14ac:dyDescent="0.25">
      <c r="B26" s="20" t="s">
        <v>7</v>
      </c>
    </row>
    <row r="27" spans="2:3" x14ac:dyDescent="0.25">
      <c r="B27" s="21" t="s">
        <v>80</v>
      </c>
    </row>
    <row r="28" spans="2:3" x14ac:dyDescent="0.25">
      <c r="B28" s="21" t="s">
        <v>78</v>
      </c>
    </row>
    <row r="29" spans="2:3" x14ac:dyDescent="0.25">
      <c r="B29" s="21" t="s">
        <v>81</v>
      </c>
    </row>
    <row r="30" spans="2:3" x14ac:dyDescent="0.25">
      <c r="B30" s="21" t="s">
        <v>82</v>
      </c>
    </row>
    <row r="31" spans="2:3" x14ac:dyDescent="0.25">
      <c r="B31" s="21" t="s">
        <v>83</v>
      </c>
    </row>
    <row r="32" spans="2:3" x14ac:dyDescent="0.25">
      <c r="B32" s="21" t="s">
        <v>84</v>
      </c>
    </row>
    <row r="33" spans="2:2" x14ac:dyDescent="0.25">
      <c r="B33" s="21" t="s">
        <v>85</v>
      </c>
    </row>
    <row r="34" spans="2:2" x14ac:dyDescent="0.25">
      <c r="B34" s="21" t="s">
        <v>86</v>
      </c>
    </row>
    <row r="35" spans="2:2" x14ac:dyDescent="0.25">
      <c r="B35" s="21" t="s">
        <v>87</v>
      </c>
    </row>
    <row r="36" spans="2:2" x14ac:dyDescent="0.25">
      <c r="B36" s="21" t="s">
        <v>88</v>
      </c>
    </row>
    <row r="37" spans="2:2" x14ac:dyDescent="0.25">
      <c r="B37" s="21" t="s">
        <v>89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67</v>
      </c>
    </row>
    <row r="2" spans="1:1" s="17" customFormat="1" ht="15.75" x14ac:dyDescent="0.25">
      <c r="A2" s="18"/>
    </row>
    <row r="3" spans="1:1" s="17" customFormat="1" ht="15.75" x14ac:dyDescent="0.25">
      <c r="A3" s="16" t="s">
        <v>68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69</v>
      </c>
    </row>
    <row r="8" spans="1:1" ht="15.75" x14ac:dyDescent="0.25">
      <c r="A8" s="16" t="s">
        <v>70</v>
      </c>
    </row>
    <row r="9" spans="1:1" ht="15.75" x14ac:dyDescent="0.25">
      <c r="A9" s="16" t="s">
        <v>71</v>
      </c>
    </row>
    <row r="10" spans="1:1" ht="15.75" x14ac:dyDescent="0.25">
      <c r="A10" s="16" t="s">
        <v>72</v>
      </c>
    </row>
    <row r="11" spans="1:1" ht="15.75" x14ac:dyDescent="0.25">
      <c r="A11" s="16" t="s">
        <v>73</v>
      </c>
    </row>
    <row r="12" spans="1:1" ht="15.75" x14ac:dyDescent="0.25">
      <c r="A12" s="16" t="s">
        <v>74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Firoz Shaikh</cp:lastModifiedBy>
  <cp:revision/>
  <dcterms:created xsi:type="dcterms:W3CDTF">2015-06-05T18:17:20Z</dcterms:created>
  <dcterms:modified xsi:type="dcterms:W3CDTF">2026-05-04T07:07:02Z</dcterms:modified>
  <cp:category/>
  <cp:contentStatus/>
</cp:coreProperties>
</file>