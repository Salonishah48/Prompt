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D2189FA3-CCC2-403E-9363-3C16B26464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7" i="1"/>
  <c r="I29" i="1"/>
  <c r="I20" i="1"/>
  <c r="I31" i="1" s="1"/>
  <c r="J31" i="1"/>
  <c r="K29" i="1"/>
  <c r="J29" i="1"/>
  <c r="K20" i="1"/>
  <c r="J20" i="1"/>
  <c r="I25" i="1"/>
  <c r="K6" i="1"/>
  <c r="A12" i="1"/>
  <c r="A13" i="1" s="1"/>
  <c r="A14" i="1" s="1"/>
  <c r="A15" i="1" s="1"/>
  <c r="A16" i="1" s="1"/>
  <c r="A17" i="1" s="1"/>
  <c r="A18" i="1" s="1"/>
  <c r="A19" i="1" s="1"/>
  <c r="A11" i="1"/>
  <c r="A10" i="1"/>
  <c r="I24" i="1"/>
  <c r="I11" i="1"/>
  <c r="I34" i="1"/>
  <c r="M29" i="1"/>
  <c r="L29" i="1"/>
  <c r="L20" i="1"/>
  <c r="K31" i="1" l="1"/>
  <c r="I26" i="1"/>
  <c r="J35" i="1"/>
  <c r="L31" i="1"/>
  <c r="L35" i="1" s="1"/>
  <c r="I35" i="1" l="1"/>
  <c r="K35" i="1"/>
  <c r="N20" i="1"/>
  <c r="M20" i="1"/>
  <c r="M31" i="1" s="1"/>
  <c r="M35" i="1" s="1"/>
  <c r="N29" i="1"/>
  <c r="L6" i="1"/>
  <c r="M6" i="1" s="1"/>
  <c r="N31" i="1" l="1"/>
  <c r="N35" i="1" s="1"/>
</calcChain>
</file>

<file path=xl/sharedStrings.xml><?xml version="1.0" encoding="utf-8"?>
<sst xmlns="http://schemas.openxmlformats.org/spreadsheetml/2006/main" count="137" uniqueCount="100">
  <si>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</si>
  <si>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</si>
  <si>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</si>
  <si>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</si>
  <si>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</si>
  <si>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</si>
  <si>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</si>
  <si>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</si>
  <si>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</si>
  <si>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</si>
  <si>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</si>
  <si>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</si>
  <si>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</si>
  <si>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</si>
  <si>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</si>
  <si>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</si>
  <si>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</si>
  <si>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</si>
  <si>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</si>
  <si>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</si>
  <si>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</si>
  <si>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</si>
  <si>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</si>
  <si>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</si>
  <si>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</si>
  <si>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</si>
  <si>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</si>
  <si>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</si>
  <si>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</si>
  <si>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</si>
  <si>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</si>
  <si>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</si>
  <si>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</si>
  <si>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</si>
  <si>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</si>
  <si>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</si>
  <si>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</si>
  <si>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</si>
  <si>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</si>
  <si>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</si>
  <si>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</si>
  <si>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</si>
  <si>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</si>
  <si>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</si>
  <si>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</si>
  <si>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</si>
  <si>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</si>
  <si>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</si>
  <si>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</si>
  <si>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</si>
  <si>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</si>
  <si>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</si>
  <si>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</si>
  <si>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</si>
  <si>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</si>
  <si>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</si>
  <si>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</si>
  <si>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</si>
  <si>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</si>
  <si>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</si>
  <si>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</si>
  <si>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</si>
  <si>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</si>
  <si>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</si>
  <si>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</si>
  <si>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</si>
  <si>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</si>
  <si>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</si>
  <si>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</si>
  <si>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</si>
  <si>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</si>
  <si>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</si>
  <si>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</si>
  <si>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</si>
  <si>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</si>
  <si>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Sandhya Gehani</t>
  </si>
  <si>
    <t>Staff</t>
  </si>
  <si>
    <t>Firoz Shaikh</t>
  </si>
  <si>
    <t xml:space="preserve">Apostles Raleigh </t>
  </si>
  <si>
    <t>Keller</t>
  </si>
  <si>
    <t xml:space="preserve">Tatusko Kenndy </t>
  </si>
  <si>
    <t>Bay Business Group LLC</t>
  </si>
  <si>
    <t>National Emergency Number Association (NENA)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</si>
  <si>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</si>
  <si>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</si>
  <si>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</si>
  <si>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</si>
  <si>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</si>
  <si>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</si>
  <si>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</si>
  <si>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</si>
  <si>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</si>
  <si>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</si>
  <si>
    <t xml:space="preserve">The Life we can save </t>
  </si>
  <si>
    <t>Vaughn Defense</t>
  </si>
  <si>
    <t xml:space="preserve">Wachs </t>
  </si>
  <si>
    <t>Fort Myers Thrift shop</t>
  </si>
  <si>
    <t>Summit Knowledge Solutions</t>
  </si>
  <si>
    <t>WAO</t>
  </si>
  <si>
    <t>Live Free, Inc DBA Tried &amp; True Media Corporation (TNT)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</si>
</sst>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2" fontId="0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4.5703125" bestFit="1" customWidth="1"/>
    <col min="2" max="2" width="25.140625" customWidth="1"/>
    <col min="3" max="3" width="38" bestFit="1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0" width="10.7109375" customWidth="1"/>
    <col min="11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77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7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81</v>
      </c>
      <c r="C9" t="s">
        <v>78</v>
      </c>
      <c r="D9" s="25" t="s">
        <v>35</v>
      </c>
      <c r="E9" s="2"/>
      <c r="F9" s="2"/>
      <c r="G9" s="2"/>
      <c r="H9" s="25" t="s">
        <v>51</v>
      </c>
      <c r="I9" s="14">
        <v>4</v>
      </c>
      <c r="J9">
        <v>2</v>
      </c>
      <c r="K9">
        <v>2</v>
      </c>
      <c r="L9" s="28"/>
      <c r="M9" s="28"/>
      <c r="N9" s="29"/>
    </row>
    <row r="10" spans="1:14" x14ac:dyDescent="0.25">
      <c r="A10">
        <f>A9+1</f>
        <v>2</v>
      </c>
      <c r="B10" t="s">
        <v>81</v>
      </c>
      <c r="C10" t="s">
        <v>82</v>
      </c>
      <c r="D10" s="25" t="s">
        <v>35</v>
      </c>
      <c r="E10" s="2"/>
      <c r="F10" s="2"/>
      <c r="G10" s="2"/>
      <c r="H10" s="25" t="s">
        <v>51</v>
      </c>
      <c r="I10" s="14">
        <v>2</v>
      </c>
      <c r="J10">
        <v>1</v>
      </c>
      <c r="K10">
        <v>1</v>
      </c>
      <c r="L10" s="28"/>
      <c r="M10" s="28"/>
      <c r="N10" s="29"/>
    </row>
    <row r="11" spans="1:14" x14ac:dyDescent="0.25">
      <c r="A11">
        <f t="shared" ref="A11:A19" si="0">A10+1</f>
        <v>3</v>
      </c>
      <c r="B11" t="s">
        <v>81</v>
      </c>
      <c r="C11" t="s">
        <v>80</v>
      </c>
      <c r="D11" s="25" t="s">
        <v>21</v>
      </c>
      <c r="E11" s="2"/>
      <c r="F11" s="2"/>
      <c r="G11" s="2"/>
      <c r="H11" s="25" t="s">
        <v>51</v>
      </c>
      <c r="I11" s="14">
        <f>SUM(J11:M11)</f>
        <v>2</v>
      </c>
      <c r="J11">
        <v>1</v>
      </c>
      <c r="K11">
        <v>1</v>
      </c>
      <c r="L11" s="28"/>
      <c r="M11" s="28"/>
      <c r="N11" s="29"/>
    </row>
    <row r="12" spans="1:14" x14ac:dyDescent="0.25">
      <c r="A12">
        <f t="shared" si="0"/>
        <v>4</v>
      </c>
      <c r="B12" t="s">
        <v>81</v>
      </c>
      <c r="C12" t="s">
        <v>94</v>
      </c>
      <c r="D12" s="25" t="s">
        <v>21</v>
      </c>
      <c r="E12" s="2"/>
      <c r="F12" s="2"/>
      <c r="G12" s="2"/>
      <c r="H12" s="25" t="s">
        <v>51</v>
      </c>
      <c r="I12" s="14">
        <v>3</v>
      </c>
      <c r="J12">
        <v>3</v>
      </c>
      <c r="L12" s="28"/>
      <c r="M12" s="28"/>
      <c r="N12" s="29"/>
    </row>
    <row r="13" spans="1:14" x14ac:dyDescent="0.25">
      <c r="A13">
        <f t="shared" si="0"/>
        <v>5</v>
      </c>
      <c r="B13" t="s">
        <v>81</v>
      </c>
      <c r="C13" t="s">
        <v>95</v>
      </c>
      <c r="D13" s="25" t="s">
        <v>21</v>
      </c>
      <c r="E13" s="2"/>
      <c r="F13" s="2"/>
      <c r="G13" s="2"/>
      <c r="H13" s="25" t="s">
        <v>51</v>
      </c>
      <c r="I13" s="14">
        <v>3</v>
      </c>
      <c r="J13">
        <v>3</v>
      </c>
      <c r="L13" s="28"/>
      <c r="M13" s="28"/>
      <c r="N13" s="29"/>
    </row>
    <row r="14" spans="1:14" x14ac:dyDescent="0.25">
      <c r="A14">
        <f t="shared" si="0"/>
        <v>6</v>
      </c>
      <c r="B14" t="s">
        <v>81</v>
      </c>
      <c r="C14" t="s">
        <v>96</v>
      </c>
      <c r="D14" s="25" t="s">
        <v>35</v>
      </c>
      <c r="E14" s="2"/>
      <c r="F14" s="2"/>
      <c r="G14" s="2"/>
      <c r="H14" s="25" t="s">
        <v>51</v>
      </c>
      <c r="I14" s="14">
        <v>8</v>
      </c>
      <c r="J14" s="28">
        <v>8</v>
      </c>
      <c r="K14" s="28"/>
      <c r="L14" s="28"/>
      <c r="M14" s="28"/>
      <c r="N14" s="29"/>
    </row>
    <row r="15" spans="1:14" x14ac:dyDescent="0.25">
      <c r="A15">
        <f t="shared" si="0"/>
        <v>7</v>
      </c>
      <c r="B15" t="s">
        <v>81</v>
      </c>
      <c r="C15" t="s">
        <v>79</v>
      </c>
      <c r="D15" s="25" t="s">
        <v>21</v>
      </c>
      <c r="E15" s="2"/>
      <c r="F15" s="2"/>
      <c r="G15" s="2"/>
      <c r="H15" s="25" t="s">
        <v>51</v>
      </c>
      <c r="I15" s="14">
        <v>6</v>
      </c>
      <c r="J15" s="28">
        <v>6</v>
      </c>
      <c r="K15" s="28"/>
      <c r="L15" s="28"/>
      <c r="M15" s="28"/>
      <c r="N15" s="29"/>
    </row>
    <row r="16" spans="1:14" x14ac:dyDescent="0.25">
      <c r="A16">
        <f t="shared" si="0"/>
        <v>8</v>
      </c>
      <c r="B16" t="s">
        <v>81</v>
      </c>
      <c r="C16" t="s">
        <v>97</v>
      </c>
      <c r="D16" s="25" t="s">
        <v>21</v>
      </c>
      <c r="E16" s="2"/>
      <c r="F16" s="2"/>
      <c r="G16" s="2"/>
      <c r="H16" s="25" t="s">
        <v>51</v>
      </c>
      <c r="I16" s="14">
        <v>4</v>
      </c>
      <c r="J16" s="28">
        <v>4</v>
      </c>
      <c r="K16" s="28"/>
      <c r="L16" s="28"/>
      <c r="M16" s="28"/>
      <c r="N16" s="29"/>
    </row>
    <row r="17" spans="1:14" x14ac:dyDescent="0.25">
      <c r="A17">
        <f t="shared" si="0"/>
        <v>9</v>
      </c>
      <c r="B17" t="s">
        <v>81</v>
      </c>
      <c r="C17" t="s">
        <v>98</v>
      </c>
      <c r="D17" s="25" t="s">
        <v>21</v>
      </c>
      <c r="E17" s="2"/>
      <c r="F17" s="2"/>
      <c r="G17" s="2"/>
      <c r="H17" s="25" t="s">
        <v>51</v>
      </c>
      <c r="I17" s="14">
        <v>2</v>
      </c>
      <c r="J17" s="28">
        <v>2</v>
      </c>
      <c r="K17" s="28"/>
      <c r="L17" s="28"/>
      <c r="M17" s="28"/>
      <c r="N17" s="29"/>
    </row>
    <row r="18" spans="1:14" x14ac:dyDescent="0.25">
      <c r="A18">
        <f t="shared" si="0"/>
        <v>10</v>
      </c>
      <c r="B18" t="s">
        <v>81</v>
      </c>
      <c r="C18" t="s">
        <v>93</v>
      </c>
      <c r="D18" s="25" t="s">
        <v>21</v>
      </c>
      <c r="E18" s="2"/>
      <c r="H18" s="25" t="s">
        <v>51</v>
      </c>
      <c r="I18" s="14"/>
      <c r="J18" s="29"/>
      <c r="K18" s="29"/>
      <c r="L18" s="29"/>
      <c r="M18" s="29"/>
      <c r="N18" s="29"/>
    </row>
    <row r="19" spans="1:14" x14ac:dyDescent="0.25">
      <c r="A19">
        <f t="shared" si="0"/>
        <v>11</v>
      </c>
      <c r="B19" t="s">
        <v>81</v>
      </c>
      <c r="C19" t="s">
        <v>99</v>
      </c>
      <c r="D19" s="25" t="s">
        <v>35</v>
      </c>
      <c r="E19" s="2"/>
      <c r="H19" s="25" t="s">
        <v>51</v>
      </c>
      <c r="I19" s="14">
        <v>3</v>
      </c>
      <c r="J19" s="29">
        <v>3</v>
      </c>
      <c r="K19" s="29"/>
      <c r="L19" s="29"/>
      <c r="M19" s="29"/>
      <c r="N19" s="29"/>
    </row>
    <row r="20" spans="1:14" ht="15.75" thickBot="1" x14ac:dyDescent="0.3">
      <c r="A20" s="13" t="s">
        <v>22</v>
      </c>
      <c r="B20" s="9"/>
      <c r="C20" s="9"/>
      <c r="D20" s="9"/>
      <c r="E20" s="9"/>
      <c r="F20" s="9"/>
      <c r="G20" s="9"/>
      <c r="H20" s="9"/>
      <c r="I20" s="15">
        <f>SUM(I8:I19)</f>
        <v>37</v>
      </c>
      <c r="J20" s="15">
        <f>SUM(J8:J19)</f>
        <v>33</v>
      </c>
      <c r="K20" s="15">
        <f>SUM(K8:K19)</f>
        <v>4</v>
      </c>
      <c r="L20" s="15">
        <f>SUM(L8:L18)</f>
        <v>0</v>
      </c>
      <c r="M20" s="15">
        <f>SUM(M8:M18)</f>
        <v>0</v>
      </c>
      <c r="N20" s="15">
        <f>SUM(N8:N18)</f>
        <v>0</v>
      </c>
    </row>
    <row r="21" spans="1:14" ht="15.75" thickTop="1" x14ac:dyDescent="0.25">
      <c r="I21" s="14"/>
      <c r="L21" s="14"/>
      <c r="M21" s="14"/>
      <c r="N21" s="14"/>
    </row>
    <row r="22" spans="1:14" x14ac:dyDescent="0.25">
      <c r="A22" s="1" t="s">
        <v>23</v>
      </c>
      <c r="I22" s="14"/>
      <c r="L22" s="14"/>
      <c r="M22" s="14"/>
      <c r="N22" s="14"/>
    </row>
    <row r="23" spans="1:14" x14ac:dyDescent="0.25">
      <c r="B23" t="s">
        <v>20</v>
      </c>
      <c r="I23" s="14">
        <f>SUM(J23:N23)</f>
        <v>6</v>
      </c>
      <c r="J23">
        <v>4</v>
      </c>
      <c r="K23">
        <v>2</v>
      </c>
      <c r="L23" s="14"/>
      <c r="M23" s="14"/>
      <c r="N23" s="14"/>
    </row>
    <row r="24" spans="1:14" x14ac:dyDescent="0.25">
      <c r="B24" t="s">
        <v>24</v>
      </c>
      <c r="I24" s="14">
        <f>SUM(J24:N24)</f>
        <v>0</v>
      </c>
      <c r="L24" s="14"/>
      <c r="M24" s="14"/>
      <c r="N24" s="14"/>
    </row>
    <row r="25" spans="1:14" x14ac:dyDescent="0.25">
      <c r="B25" t="s">
        <v>25</v>
      </c>
      <c r="I25" s="14">
        <f>SUM(J25:N25)</f>
        <v>2</v>
      </c>
      <c r="J25">
        <v>2</v>
      </c>
      <c r="L25" s="14"/>
      <c r="M25" s="14"/>
      <c r="N25" s="14"/>
    </row>
    <row r="26" spans="1:14" x14ac:dyDescent="0.25">
      <c r="B26" t="s">
        <v>26</v>
      </c>
      <c r="I26" s="14">
        <f>SUM(J26:N26)</f>
        <v>0</v>
      </c>
      <c r="L26" s="14"/>
      <c r="M26" s="14"/>
      <c r="N26" s="14"/>
    </row>
    <row r="27" spans="1:14" x14ac:dyDescent="0.25">
      <c r="B27" t="s">
        <v>27</v>
      </c>
      <c r="I27" s="14">
        <f>SUM(J27:N27)</f>
        <v>35</v>
      </c>
      <c r="J27">
        <v>1</v>
      </c>
      <c r="K27">
        <v>34</v>
      </c>
      <c r="L27" s="14"/>
      <c r="M27" s="14"/>
      <c r="N27" s="14"/>
    </row>
    <row r="29" spans="1:14" ht="15.75" thickBot="1" x14ac:dyDescent="0.3">
      <c r="A29" s="13" t="s">
        <v>28</v>
      </c>
      <c r="B29" s="9"/>
      <c r="C29" s="9"/>
      <c r="D29" s="9"/>
      <c r="E29" s="9"/>
      <c r="F29" s="9"/>
      <c r="G29" s="9"/>
      <c r="H29" s="9"/>
      <c r="I29" s="15">
        <f>SUM(I23:I28)</f>
        <v>43</v>
      </c>
      <c r="J29" s="15">
        <f>SUM(J23:J28)</f>
        <v>7</v>
      </c>
      <c r="K29" s="15">
        <f>SUM(K23:K28)</f>
        <v>36</v>
      </c>
      <c r="L29" s="15">
        <f>SUM(L23:L28)</f>
        <v>0</v>
      </c>
      <c r="M29" s="15">
        <f>SUM(M23:M28)</f>
        <v>0</v>
      </c>
      <c r="N29" s="15">
        <f t="shared" ref="N29" si="1">SUM(N23:N28)</f>
        <v>0</v>
      </c>
    </row>
    <row r="30" spans="1:14" ht="15.75" thickTop="1" x14ac:dyDescent="0.25">
      <c r="I30" s="14"/>
      <c r="J30" s="14"/>
      <c r="K30" s="14"/>
      <c r="L30" s="14"/>
      <c r="M30" s="14"/>
      <c r="N30" s="14"/>
    </row>
    <row r="31" spans="1:14" ht="15.75" thickBot="1" x14ac:dyDescent="0.3">
      <c r="A31" s="13" t="s">
        <v>29</v>
      </c>
      <c r="B31" s="9"/>
      <c r="C31" s="9"/>
      <c r="D31" s="9"/>
      <c r="E31" s="9"/>
      <c r="F31" s="9"/>
      <c r="G31" s="9"/>
      <c r="H31" s="9"/>
      <c r="I31" s="15">
        <f>+I29+I20</f>
        <v>80</v>
      </c>
      <c r="J31" s="15">
        <f>+J29+J20</f>
        <v>40</v>
      </c>
      <c r="K31" s="15">
        <f>+K29+K20</f>
        <v>40</v>
      </c>
      <c r="L31" s="15">
        <f>+L29+L20</f>
        <v>0</v>
      </c>
      <c r="M31" s="15">
        <f>+M29+M20</f>
        <v>0</v>
      </c>
      <c r="N31" s="15">
        <f t="shared" ref="N31" si="2">+N29+N20</f>
        <v>0</v>
      </c>
    </row>
    <row r="32" spans="1:14" ht="15.75" thickTop="1" x14ac:dyDescent="0.25"/>
    <row r="34" spans="1:14" ht="15.75" thickBot="1" x14ac:dyDescent="0.3">
      <c r="A34" s="13" t="s">
        <v>30</v>
      </c>
      <c r="B34" s="9"/>
      <c r="C34" s="9"/>
      <c r="D34" s="9"/>
      <c r="E34" s="9"/>
      <c r="F34" s="9"/>
      <c r="G34" s="9"/>
      <c r="H34" s="9"/>
      <c r="I34" s="15">
        <f>SUM(J34:N34)</f>
        <v>80</v>
      </c>
      <c r="J34" s="15">
        <v>40</v>
      </c>
      <c r="K34" s="15">
        <v>40</v>
      </c>
      <c r="L34" s="15">
        <v>0</v>
      </c>
      <c r="M34" s="15">
        <v>0</v>
      </c>
      <c r="N34" s="15"/>
    </row>
    <row r="35" spans="1:14" ht="16.5" thickTop="1" thickBot="1" x14ac:dyDescent="0.3">
      <c r="A35" s="13" t="s">
        <v>31</v>
      </c>
      <c r="B35" s="9"/>
      <c r="C35" s="9"/>
      <c r="D35" s="9"/>
      <c r="E35" s="9"/>
      <c r="F35" s="9"/>
      <c r="G35" s="9"/>
      <c r="H35" s="9"/>
      <c r="I35" s="15">
        <f t="shared" ref="I35:N35" si="3">+I34-I31</f>
        <v>0</v>
      </c>
      <c r="J35" s="15">
        <f t="shared" si="3"/>
        <v>0</v>
      </c>
      <c r="K35" s="15">
        <f t="shared" si="3"/>
        <v>0</v>
      </c>
      <c r="L35" s="15">
        <f t="shared" si="3"/>
        <v>0</v>
      </c>
      <c r="M35" s="15">
        <f t="shared" si="3"/>
        <v>0</v>
      </c>
      <c r="N35" s="15">
        <f t="shared" si="3"/>
        <v>0</v>
      </c>
    </row>
    <row r="36" spans="1:14" ht="15.75" thickTop="1" x14ac:dyDescent="0.25"/>
  </sheetData>
  <protectedRanges>
    <protectedRange sqref="C11:C19 G9:I17 F11:F17 L8:XFD19 A8:K8 A23:I28 L23:XFD28 F18:I19 A9:A19 J14:K19" name="Range1"/>
    <protectedRange sqref="B9:C9 B10:B19" name="Range1_1"/>
    <protectedRange sqref="D9:D19" name="Range1_2"/>
    <protectedRange sqref="E9:F9 F10 E10:E19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H9:H19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D9:D19</xm:sqref>
        </x14:dataValidation>
        <x14:dataValidation type="list" allowBlank="1" showInputMessage="1" showErrorMessage="1" xr:uid="{96C8F18F-BF09-4A8A-B8FD-1AA2978A2291}">
          <x14:formula1>
            <xm:f>Status!$B$26:$B$37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23" workbookViewId="0">
      <selection activeCell="B26" sqref="B26:B3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32</v>
      </c>
    </row>
    <row r="3" spans="2:3" x14ac:dyDescent="0.25">
      <c r="B3" s="20" t="s">
        <v>33</v>
      </c>
      <c r="C3" s="21" t="s">
        <v>34</v>
      </c>
    </row>
    <row r="4" spans="2:3" x14ac:dyDescent="0.25">
      <c r="B4" s="20" t="s">
        <v>35</v>
      </c>
      <c r="C4" s="21" t="s">
        <v>36</v>
      </c>
    </row>
    <row r="5" spans="2:3" x14ac:dyDescent="0.25">
      <c r="B5" s="20" t="s">
        <v>37</v>
      </c>
      <c r="C5" s="21" t="s">
        <v>38</v>
      </c>
    </row>
    <row r="6" spans="2:3" x14ac:dyDescent="0.25">
      <c r="B6" s="20" t="s">
        <v>21</v>
      </c>
      <c r="C6" s="21" t="s">
        <v>39</v>
      </c>
    </row>
    <row r="7" spans="2:3" x14ac:dyDescent="0.25">
      <c r="B7" s="20" t="s">
        <v>40</v>
      </c>
      <c r="C7" s="21" t="s">
        <v>41</v>
      </c>
    </row>
    <row r="8" spans="2:3" x14ac:dyDescent="0.25">
      <c r="B8" s="20" t="s">
        <v>42</v>
      </c>
      <c r="C8" s="21" t="s">
        <v>43</v>
      </c>
    </row>
    <row r="9" spans="2:3" x14ac:dyDescent="0.25">
      <c r="B9" s="20" t="s">
        <v>44</v>
      </c>
      <c r="C9" s="21" t="s">
        <v>45</v>
      </c>
    </row>
    <row r="10" spans="2:3" x14ac:dyDescent="0.25">
      <c r="B10" s="20" t="s">
        <v>46</v>
      </c>
      <c r="C10" s="21" t="s">
        <v>47</v>
      </c>
    </row>
    <row r="11" spans="2:3" x14ac:dyDescent="0.25">
      <c r="B11" s="20" t="s">
        <v>48</v>
      </c>
      <c r="C11" s="21" t="s">
        <v>49</v>
      </c>
    </row>
    <row r="12" spans="2:3" x14ac:dyDescent="0.25">
      <c r="B12" s="1"/>
    </row>
    <row r="14" spans="2:3" ht="16.5" x14ac:dyDescent="0.25">
      <c r="B14" s="23" t="s">
        <v>50</v>
      </c>
      <c r="C14" s="23" t="s">
        <v>32</v>
      </c>
    </row>
    <row r="15" spans="2:3" x14ac:dyDescent="0.25">
      <c r="B15" s="22" t="s">
        <v>51</v>
      </c>
      <c r="C15" s="21" t="s">
        <v>52</v>
      </c>
    </row>
    <row r="16" spans="2:3" x14ac:dyDescent="0.25">
      <c r="B16" s="22" t="s">
        <v>53</v>
      </c>
      <c r="C16" s="21" t="s">
        <v>54</v>
      </c>
    </row>
    <row r="17" spans="2:3" x14ac:dyDescent="0.25">
      <c r="B17" s="22" t="s">
        <v>55</v>
      </c>
      <c r="C17" s="21" t="s">
        <v>56</v>
      </c>
    </row>
    <row r="18" spans="2:3" x14ac:dyDescent="0.25">
      <c r="B18" s="22" t="s">
        <v>57</v>
      </c>
      <c r="C18" s="21" t="s">
        <v>58</v>
      </c>
    </row>
    <row r="19" spans="2:3" x14ac:dyDescent="0.25">
      <c r="B19" s="22" t="s">
        <v>59</v>
      </c>
      <c r="C19" s="21" t="s">
        <v>60</v>
      </c>
    </row>
    <row r="20" spans="2:3" x14ac:dyDescent="0.25">
      <c r="B20" s="22" t="s">
        <v>61</v>
      </c>
      <c r="C20" s="21" t="s">
        <v>62</v>
      </c>
    </row>
    <row r="21" spans="2:3" x14ac:dyDescent="0.25">
      <c r="B21" s="22" t="s">
        <v>63</v>
      </c>
      <c r="C21" s="21" t="s">
        <v>64</v>
      </c>
    </row>
    <row r="22" spans="2:3" x14ac:dyDescent="0.25">
      <c r="B22" s="22" t="s">
        <v>65</v>
      </c>
      <c r="C22" s="21" t="s">
        <v>66</v>
      </c>
    </row>
    <row r="26" spans="2:3" x14ac:dyDescent="0.25">
      <c r="B26" s="20" t="s">
        <v>7</v>
      </c>
    </row>
    <row r="27" spans="2:3" x14ac:dyDescent="0.25">
      <c r="B27" s="21" t="s">
        <v>83</v>
      </c>
    </row>
    <row r="28" spans="2:3" x14ac:dyDescent="0.25">
      <c r="B28" s="21" t="s">
        <v>84</v>
      </c>
    </row>
    <row r="29" spans="2:3" x14ac:dyDescent="0.25">
      <c r="B29" s="21" t="s">
        <v>85</v>
      </c>
    </row>
    <row r="30" spans="2:3" x14ac:dyDescent="0.25">
      <c r="B30" s="21" t="s">
        <v>81</v>
      </c>
    </row>
    <row r="31" spans="2:3" x14ac:dyDescent="0.25">
      <c r="B31" s="21" t="s">
        <v>86</v>
      </c>
    </row>
    <row r="32" spans="2:3" x14ac:dyDescent="0.25">
      <c r="B32" s="21" t="s">
        <v>87</v>
      </c>
    </row>
    <row r="33" spans="2:2" x14ac:dyDescent="0.25">
      <c r="B33" s="21" t="s">
        <v>88</v>
      </c>
    </row>
    <row r="34" spans="2:2" x14ac:dyDescent="0.25">
      <c r="B34" s="21" t="s">
        <v>89</v>
      </c>
    </row>
    <row r="35" spans="2:2" x14ac:dyDescent="0.25">
      <c r="B35" s="21" t="s">
        <v>90</v>
      </c>
    </row>
    <row r="36" spans="2:2" x14ac:dyDescent="0.25">
      <c r="B36" s="21" t="s">
        <v>91</v>
      </c>
    </row>
    <row r="37" spans="2:2" x14ac:dyDescent="0.25">
      <c r="B37" s="21" t="s">
        <v>92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67</v>
      </c>
    </row>
    <row r="2" spans="1:1" s="17" customFormat="1" ht="15.75" x14ac:dyDescent="0.25">
      <c r="A2" s="18"/>
    </row>
    <row r="3" spans="1:1" s="17" customFormat="1" ht="15.75" x14ac:dyDescent="0.25">
      <c r="A3" s="16" t="s">
        <v>68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69</v>
      </c>
    </row>
    <row r="8" spans="1:1" ht="15.75" x14ac:dyDescent="0.25">
      <c r="A8" s="16" t="s">
        <v>70</v>
      </c>
    </row>
    <row r="9" spans="1:1" ht="15.75" x14ac:dyDescent="0.25">
      <c r="A9" s="16" t="s">
        <v>71</v>
      </c>
    </row>
    <row r="10" spans="1:1" ht="15.75" x14ac:dyDescent="0.25">
      <c r="A10" s="16" t="s">
        <v>72</v>
      </c>
    </row>
    <row r="11" spans="1:1" ht="15.75" x14ac:dyDescent="0.25">
      <c r="A11" s="16" t="s">
        <v>73</v>
      </c>
    </row>
    <row r="12" spans="1:1" ht="15.75" x14ac:dyDescent="0.25">
      <c r="A12" s="16" t="s">
        <v>74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2026-05-04T07:08:16Z</dcterms:modified>
  <cp:category/>
  <cp:contentStatus/>
</cp:coreProperties>
</file>