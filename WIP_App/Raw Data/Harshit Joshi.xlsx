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Jainam Appa\"/>
    </mc:Choice>
  </mc:AlternateContent>
  <xr:revisionPtr revIDLastSave="0" documentId="13_ncr:1_{CA4B8B8F-93BA-4A3F-8C52-279751DFC3B3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  <sheet name="Client Li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1" l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105" i="1"/>
  <c r="J107" i="1"/>
  <c r="I110" i="1"/>
  <c r="I111" i="1"/>
  <c r="I112" i="1"/>
  <c r="I113" i="1"/>
  <c r="I47" i="1" l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K107" i="1"/>
  <c r="K116" i="1"/>
  <c r="I107" i="1" l="1"/>
  <c r="K118" i="1"/>
  <c r="K122" i="1" s="1"/>
  <c r="I116" i="1" l="1"/>
  <c r="J116" i="1" l="1"/>
  <c r="K6" i="1"/>
  <c r="J118" i="1" l="1"/>
  <c r="J122" i="1" s="1"/>
  <c r="I118" i="1"/>
</calcChain>
</file>

<file path=xl/sharedStrings.xml><?xml version="1.0" encoding="utf-8"?>
<sst xmlns="http://schemas.openxmlformats.org/spreadsheetml/2006/main" count="496" uniqueCount="145">
  <si>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</si>
  <si>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</si>
  <si>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</si>
  <si>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</si>
  <si>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</si>
  <si>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</si>
  <si>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</si>
  <si>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</si>
  <si>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</si>
  <si>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</si>
  <si>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</si>
  <si>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</si>
  <si>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</si>
  <si>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</si>
  <si>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</si>
  <si>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</si>
  <si>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</si>
  <si>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</si>
  <si>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</si>
  <si>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</si>
  <si>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</si>
  <si>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</si>
  <si>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</si>
  <si>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</si>
  <si>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</si>
  <si>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</si>
  <si>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</si>
  <si>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</si>
  <si>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</si>
  <si>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</si>
  <si>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</si>
  <si>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</si>
  <si>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</si>
  <si>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</si>
  <si>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</si>
  <si>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</si>
  <si>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</si>
  <si>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</si>
  <si>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</si>
  <si>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</si>
  <si>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</si>
  <si>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</si>
  <si>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</si>
  <si>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</si>
  <si>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</si>
  <si>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</si>
  <si>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</si>
  <si>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</si>
  <si>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</si>
  <si>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</si>
  <si>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</si>
  <si>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</si>
  <si>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</si>
  <si>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</si>
  <si>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</si>
  <si>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</si>
  <si>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</si>
  <si>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</si>
  <si>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</si>
  <si>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</si>
  <si>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</si>
  <si>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</si>
  <si>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</si>
  <si>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</si>
  <si>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</si>
  <si>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</si>
  <si>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</si>
  <si>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</si>
  <si>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</si>
  <si>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</si>
  <si>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Client call</t>
  </si>
  <si>
    <t>Convery CPA</t>
  </si>
  <si>
    <t>AB Reiss Family Holdings LLC</t>
  </si>
  <si>
    <t>AG Dream Construction LLC</t>
  </si>
  <si>
    <t>Quantum A/C LLC</t>
  </si>
  <si>
    <t>Quantum Pizza LLC</t>
  </si>
  <si>
    <t>The Sorrels Group Inc</t>
  </si>
  <si>
    <t>Harshit Joshi</t>
  </si>
  <si>
    <t>Jainam Appa</t>
  </si>
  <si>
    <t>Senior</t>
  </si>
  <si>
    <t>Sr.No</t>
  </si>
  <si>
    <t>Advanced Accounting &amp; Tax Solutions</t>
  </si>
  <si>
    <t>Bearden Stroup &amp; Associates CPAs</t>
  </si>
  <si>
    <t>Bookworks Accounting &amp; Bookkeeping, LLC</t>
  </si>
  <si>
    <t>CAVU Human Capital Management</t>
  </si>
  <si>
    <t>Christy Shepherd Ervin</t>
  </si>
  <si>
    <t>Clarke Public Accounting, Co.</t>
  </si>
  <si>
    <t>Conscious Accounting</t>
  </si>
  <si>
    <t>DPB CPA</t>
  </si>
  <si>
    <t>Gift CPAs, LLC</t>
  </si>
  <si>
    <t>Gracida Homes LLC</t>
  </si>
  <si>
    <t>Hilltop Research</t>
  </si>
  <si>
    <t>HM &amp; M Advisory, LLC A Springline Company</t>
  </si>
  <si>
    <t>Jebran &amp; Abraham PC</t>
  </si>
  <si>
    <t>L&amp;Y Tax Advisors (Jake Lambert)</t>
  </si>
  <si>
    <t>Leung Tax Consulting, Inc.</t>
  </si>
  <si>
    <t>Matthew Mann CPA PLLC</t>
  </si>
  <si>
    <t>Mollica and Yeaman LLC</t>
  </si>
  <si>
    <t>SDA CPA Group, P.C</t>
  </si>
  <si>
    <t>Sharp Income Tax Service, Inc.</t>
  </si>
  <si>
    <t>Springline Advisory LLC</t>
  </si>
  <si>
    <t>SPRLINE CONSULTANCY PRIVATE LIMITED</t>
  </si>
  <si>
    <t>Taxcap Business Services Inc.</t>
  </si>
  <si>
    <t>The Tax Planning Pros</t>
  </si>
  <si>
    <t>Tina Nguyen</t>
  </si>
  <si>
    <t>Total Income Tax LLC</t>
  </si>
  <si>
    <t>VN Florida Homes LLC</t>
  </si>
  <si>
    <t>Warriror Business Services</t>
  </si>
  <si>
    <t>Palma Financial</t>
  </si>
  <si>
    <t>Gurram Tax, LLC</t>
  </si>
  <si>
    <t>Hammock Decor, LLC</t>
  </si>
  <si>
    <t>Take Action Properties LLC</t>
  </si>
  <si>
    <t>Dash Market Research LLC</t>
  </si>
  <si>
    <t>Fisher's Heat &amp; Air Inc</t>
  </si>
  <si>
    <t>Tidal Wave Pool Care LLC</t>
  </si>
  <si>
    <t>Grill &amp; Hearth Inc</t>
  </si>
  <si>
    <t>CLAN MCALISTER INC</t>
  </si>
  <si>
    <t>Facial Concepts Inc.</t>
  </si>
  <si>
    <t>Hudanish Family Business Inc</t>
  </si>
  <si>
    <t>La Grande Provence Condo Assn</t>
  </si>
  <si>
    <t>Valko, Slavomir</t>
  </si>
  <si>
    <t>Bunnell Auto Supply Co, Inc</t>
  </si>
  <si>
    <t>Andrew King Mobile Welding, Inc</t>
  </si>
  <si>
    <t>DEREK JOHNSON NUTRITION, INC</t>
  </si>
  <si>
    <t>Quantum Cowboys LLC</t>
  </si>
  <si>
    <t>Quantum Tires 2, LLC</t>
  </si>
  <si>
    <t>Derek Cook Roofing Specialists Inc</t>
  </si>
  <si>
    <t>Week 2</t>
  </si>
  <si>
    <t>Alliance Financial Partners Inc</t>
  </si>
  <si>
    <t>Munson LLC</t>
  </si>
  <si>
    <t>Clymer Cremations &amp; Funeral Home, Inc</t>
  </si>
  <si>
    <t>Balance Palm Coast LLC</t>
  </si>
  <si>
    <t>Balsam Bosom Wellness and Restorativ</t>
  </si>
  <si>
    <t>JLS Solutions &amp; Services LLC</t>
  </si>
  <si>
    <t>Darren Peterson, PLLC</t>
  </si>
  <si>
    <t>Illuminate Mental Health PA</t>
  </si>
  <si>
    <t>La Mer Condominium Association</t>
  </si>
  <si>
    <t>DEREK JOHNSON NUTRITION,</t>
  </si>
  <si>
    <t>C Clayton Distribution LLC</t>
  </si>
  <si>
    <t>S.T. Energy Services LLC</t>
  </si>
  <si>
    <t>Invisacook, Inc</t>
  </si>
  <si>
    <t>Drevo Inc</t>
  </si>
  <si>
    <t>William Meyers Enterprises</t>
  </si>
  <si>
    <t>The Tire Pitt LLC</t>
  </si>
  <si>
    <t>Moonlight Graham Group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</si>
</sst>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43" fontId="0" fillId="5" borderId="0" xfId="1" applyFont="1" applyFill="1"/>
    <xf numFmtId="43" fontId="1" fillId="5" borderId="1" xfId="1" applyFont="1" applyFill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43" fontId="0" fillId="5" borderId="0" xfId="1" applyFont="1" applyFill="1" applyAlignment="1">
      <alignment horizontal="center" vertical="center"/>
    </xf>
    <xf numFmtId="0" fontId="8" fillId="0" borderId="3" xfId="0" applyFont="1" applyBorder="1"/>
    <xf numFmtId="0" fontId="9" fillId="0" borderId="3" xfId="0" applyFont="1" applyBorder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190500</xdr:rowOff>
    </xdr:from>
    <xdr:to>
      <xdr:col>0</xdr:col>
      <xdr:colOff>3305630</xdr:colOff>
      <xdr:row>5</xdr:row>
      <xdr:rowOff>142952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60007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"/>
  <sheetViews>
    <sheetView tabSelected="1" zoomScale="55" zoomScaleNormal="55" workbookViewId="0">
      <pane xSplit="2" ySplit="7" topLeftCell="C8" activePane="bottomRight" state="frozen"/>
      <selection pane="topRight" activeCell="C1" sqref="C1"/>
      <selection pane="bottomLeft" activeCell="A7" sqref="A7"/>
      <selection pane="bottomRight"/>
    </sheetView>
  </sheetViews>
  <sheetFormatPr defaultRowHeight="15" x14ac:dyDescent="0.25"/>
  <cols>
    <col min="1" max="1" width="24.5703125" bestFit="1" customWidth="1"/>
    <col min="2" max="2" width="25.140625" customWidth="1"/>
    <col min="3" max="3" width="46.28515625" bestFit="1" customWidth="1"/>
    <col min="4" max="4" width="31.85546875" customWidth="1"/>
    <col min="5" max="5" width="13.7109375" bestFit="1" customWidth="1"/>
    <col min="6" max="6" width="11.7109375" customWidth="1"/>
    <col min="7" max="7" width="13.140625" customWidth="1"/>
    <col min="8" max="8" width="17.5703125" customWidth="1"/>
    <col min="9" max="9" width="22.140625" bestFit="1" customWidth="1"/>
    <col min="10" max="10" width="13.140625" bestFit="1" customWidth="1"/>
    <col min="11" max="11" width="13.7109375" bestFit="1" customWidth="1"/>
  </cols>
  <sheetData>
    <row r="1" spans="1:13" x14ac:dyDescent="0.25">
      <c r="A1" s="1" t="s">
        <v>0</v>
      </c>
      <c r="H1" s="10"/>
    </row>
    <row r="2" spans="1:13" x14ac:dyDescent="0.25">
      <c r="A2" s="1" t="s">
        <v>1</v>
      </c>
      <c r="B2" s="9" t="s">
        <v>77</v>
      </c>
      <c r="C2" s="9"/>
      <c r="H2" s="1"/>
      <c r="I2" s="1"/>
    </row>
    <row r="3" spans="1:13" x14ac:dyDescent="0.25">
      <c r="A3" s="1" t="s">
        <v>2</v>
      </c>
      <c r="B3" s="9" t="s">
        <v>79</v>
      </c>
      <c r="C3" s="9"/>
      <c r="H3" s="1"/>
      <c r="I3" s="1"/>
    </row>
    <row r="4" spans="1:13" x14ac:dyDescent="0.25">
      <c r="A4" s="1" t="s">
        <v>3</v>
      </c>
      <c r="B4" s="9" t="s">
        <v>78</v>
      </c>
      <c r="C4" s="9"/>
      <c r="H4" s="1"/>
      <c r="I4" s="1"/>
    </row>
    <row r="5" spans="1:13" x14ac:dyDescent="0.25">
      <c r="A5" s="1"/>
      <c r="B5" s="9"/>
    </row>
    <row r="6" spans="1:13" x14ac:dyDescent="0.25">
      <c r="I6" s="7" t="s">
        <v>4</v>
      </c>
      <c r="J6" s="2">
        <v>46146</v>
      </c>
      <c r="K6" s="2">
        <f>J6+7</f>
        <v>46153</v>
      </c>
    </row>
    <row r="7" spans="1:13" s="1" customFormat="1" ht="30" x14ac:dyDescent="0.25">
      <c r="A7" s="3" t="s">
        <v>5</v>
      </c>
      <c r="B7" s="3" t="s">
        <v>6</v>
      </c>
      <c r="C7" s="3" t="s">
        <v>7</v>
      </c>
      <c r="D7" s="22" t="s">
        <v>36</v>
      </c>
      <c r="E7" s="3" t="s">
        <v>8</v>
      </c>
      <c r="F7" s="3" t="s">
        <v>9</v>
      </c>
      <c r="G7" s="3" t="s">
        <v>10</v>
      </c>
      <c r="H7" s="22" t="s">
        <v>11</v>
      </c>
      <c r="I7" s="22" t="s">
        <v>12</v>
      </c>
      <c r="J7" s="3" t="s">
        <v>13</v>
      </c>
      <c r="K7" s="3" t="s">
        <v>127</v>
      </c>
    </row>
    <row r="8" spans="1:13" x14ac:dyDescent="0.25">
      <c r="A8" s="6" t="s">
        <v>14</v>
      </c>
      <c r="B8" s="4"/>
      <c r="C8" s="4"/>
      <c r="D8" s="22"/>
      <c r="E8" s="4"/>
      <c r="F8" s="4"/>
      <c r="G8" s="4"/>
      <c r="H8" s="22"/>
      <c r="I8" s="22"/>
      <c r="J8" s="5"/>
    </row>
    <row r="9" spans="1:13" x14ac:dyDescent="0.25">
      <c r="A9" s="27">
        <v>1</v>
      </c>
      <c r="B9" s="28" t="s">
        <v>71</v>
      </c>
      <c r="C9" s="27" t="s">
        <v>114</v>
      </c>
      <c r="D9" s="29" t="s">
        <v>38</v>
      </c>
      <c r="E9" s="30">
        <v>46146</v>
      </c>
      <c r="F9" s="30"/>
      <c r="G9" s="30"/>
      <c r="H9" s="29" t="s">
        <v>27</v>
      </c>
      <c r="I9" s="31">
        <f t="shared" ref="I9" si="0">SUM(J9:K9)</f>
        <v>1.075</v>
      </c>
      <c r="J9" s="34">
        <v>1.075</v>
      </c>
      <c r="K9" s="34"/>
      <c r="L9" s="34"/>
      <c r="M9" s="34"/>
    </row>
    <row r="10" spans="1:13" x14ac:dyDescent="0.25">
      <c r="A10" s="27">
        <v>2</v>
      </c>
      <c r="B10" s="28" t="s">
        <v>71</v>
      </c>
      <c r="C10" s="27" t="s">
        <v>113</v>
      </c>
      <c r="D10" s="29" t="s">
        <v>38</v>
      </c>
      <c r="E10" s="30">
        <v>46146</v>
      </c>
      <c r="F10" s="30"/>
      <c r="G10" s="30"/>
      <c r="H10" s="29" t="s">
        <v>27</v>
      </c>
      <c r="I10" s="31">
        <f t="shared" ref="I10:I73" si="1">SUM(J10:K10)</f>
        <v>1.075</v>
      </c>
      <c r="J10" s="34">
        <v>1.075</v>
      </c>
      <c r="K10" s="34"/>
      <c r="L10" s="34"/>
      <c r="M10" s="34"/>
    </row>
    <row r="11" spans="1:13" x14ac:dyDescent="0.25">
      <c r="A11" s="27">
        <v>3</v>
      </c>
      <c r="B11" s="28" t="s">
        <v>71</v>
      </c>
      <c r="C11" s="27" t="s">
        <v>76</v>
      </c>
      <c r="D11" s="29" t="s">
        <v>38</v>
      </c>
      <c r="E11" s="30">
        <v>46146</v>
      </c>
      <c r="F11" s="30"/>
      <c r="G11" s="30"/>
      <c r="H11" s="29" t="s">
        <v>27</v>
      </c>
      <c r="I11" s="31">
        <f t="shared" si="1"/>
        <v>1.075</v>
      </c>
      <c r="J11" s="34">
        <v>1.075</v>
      </c>
      <c r="K11" s="34"/>
      <c r="L11" s="34"/>
      <c r="M11" s="34"/>
    </row>
    <row r="12" spans="1:13" x14ac:dyDescent="0.25">
      <c r="A12" s="27">
        <v>4</v>
      </c>
      <c r="B12" s="28" t="s">
        <v>71</v>
      </c>
      <c r="C12" s="27" t="s">
        <v>116</v>
      </c>
      <c r="D12" s="29" t="s">
        <v>38</v>
      </c>
      <c r="E12" s="30">
        <v>46146</v>
      </c>
      <c r="F12" s="30"/>
      <c r="G12" s="30"/>
      <c r="H12" s="29" t="s">
        <v>27</v>
      </c>
      <c r="I12" s="31">
        <f t="shared" si="1"/>
        <v>1.575</v>
      </c>
      <c r="J12" s="34">
        <v>1.575</v>
      </c>
      <c r="K12" s="34"/>
      <c r="L12" s="34"/>
      <c r="M12" s="34"/>
    </row>
    <row r="13" spans="1:13" x14ac:dyDescent="0.25">
      <c r="A13" s="27">
        <v>5</v>
      </c>
      <c r="B13" s="28" t="s">
        <v>71</v>
      </c>
      <c r="C13" s="27" t="s">
        <v>128</v>
      </c>
      <c r="D13" s="29" t="s">
        <v>38</v>
      </c>
      <c r="E13" s="30">
        <v>46146</v>
      </c>
      <c r="F13" s="30"/>
      <c r="G13" s="30"/>
      <c r="H13" s="29" t="s">
        <v>27</v>
      </c>
      <c r="I13" s="31">
        <f t="shared" si="1"/>
        <v>1.075</v>
      </c>
      <c r="J13" s="34">
        <v>1.075</v>
      </c>
      <c r="K13" s="34"/>
      <c r="L13" s="34"/>
      <c r="M13" s="34"/>
    </row>
    <row r="14" spans="1:13" x14ac:dyDescent="0.25">
      <c r="A14" s="27">
        <v>6</v>
      </c>
      <c r="B14" s="28" t="s">
        <v>71</v>
      </c>
      <c r="C14" s="27" t="s">
        <v>112</v>
      </c>
      <c r="D14" s="29" t="s">
        <v>38</v>
      </c>
      <c r="E14" s="30">
        <v>46146</v>
      </c>
      <c r="F14" s="30"/>
      <c r="G14" s="30"/>
      <c r="H14" s="29" t="s">
        <v>27</v>
      </c>
      <c r="I14" s="31">
        <f t="shared" si="1"/>
        <v>0.82499999999999996</v>
      </c>
      <c r="J14" s="34">
        <v>0.82499999999999996</v>
      </c>
      <c r="K14" s="34"/>
      <c r="L14" s="34"/>
      <c r="M14" s="34"/>
    </row>
    <row r="15" spans="1:13" x14ac:dyDescent="0.25">
      <c r="A15" s="27">
        <v>7</v>
      </c>
      <c r="B15" s="28" t="s">
        <v>71</v>
      </c>
      <c r="C15" s="27" t="s">
        <v>121</v>
      </c>
      <c r="D15" s="29" t="s">
        <v>38</v>
      </c>
      <c r="E15" s="30">
        <v>46146</v>
      </c>
      <c r="F15" s="30"/>
      <c r="G15" s="30"/>
      <c r="H15" s="29" t="s">
        <v>27</v>
      </c>
      <c r="I15" s="31">
        <f t="shared" si="1"/>
        <v>0.57499999999999996</v>
      </c>
      <c r="J15" s="34">
        <v>0.57499999999999996</v>
      </c>
      <c r="K15" s="34"/>
      <c r="L15" s="34"/>
      <c r="M15" s="34"/>
    </row>
    <row r="16" spans="1:13" x14ac:dyDescent="0.25">
      <c r="A16" s="27">
        <v>8</v>
      </c>
      <c r="B16" s="28" t="s">
        <v>71</v>
      </c>
      <c r="C16" s="27" t="s">
        <v>129</v>
      </c>
      <c r="D16" s="29" t="s">
        <v>38</v>
      </c>
      <c r="E16" s="30">
        <v>46146</v>
      </c>
      <c r="F16" s="30"/>
      <c r="G16" s="30"/>
      <c r="H16" s="29" t="s">
        <v>27</v>
      </c>
      <c r="I16" s="31">
        <f t="shared" si="1"/>
        <v>1.075</v>
      </c>
      <c r="J16" s="34">
        <v>1.075</v>
      </c>
      <c r="K16" s="34"/>
      <c r="L16" s="34"/>
      <c r="M16" s="34"/>
    </row>
    <row r="17" spans="1:13" x14ac:dyDescent="0.25">
      <c r="A17" s="27">
        <v>9</v>
      </c>
      <c r="B17" s="28" t="s">
        <v>71</v>
      </c>
      <c r="C17" s="27" t="s">
        <v>118</v>
      </c>
      <c r="D17" s="29" t="s">
        <v>38</v>
      </c>
      <c r="E17" s="30">
        <v>46146</v>
      </c>
      <c r="F17" s="30"/>
      <c r="G17" s="30"/>
      <c r="H17" s="29" t="s">
        <v>27</v>
      </c>
      <c r="I17" s="31">
        <f t="shared" si="1"/>
        <v>0.82499999999999996</v>
      </c>
      <c r="J17" s="34">
        <v>0.82499999999999996</v>
      </c>
      <c r="K17" s="34"/>
      <c r="L17" s="34"/>
      <c r="M17" s="34"/>
    </row>
    <row r="18" spans="1:13" x14ac:dyDescent="0.25">
      <c r="A18" s="27">
        <v>10</v>
      </c>
      <c r="B18" s="28" t="s">
        <v>71</v>
      </c>
      <c r="C18" s="27" t="s">
        <v>72</v>
      </c>
      <c r="D18" s="29" t="s">
        <v>38</v>
      </c>
      <c r="E18" s="30">
        <v>46146</v>
      </c>
      <c r="F18" s="30"/>
      <c r="G18" s="30"/>
      <c r="H18" s="29" t="s">
        <v>27</v>
      </c>
      <c r="I18" s="31">
        <f t="shared" si="1"/>
        <v>0.57499999999999996</v>
      </c>
      <c r="J18" s="34">
        <v>0.57499999999999996</v>
      </c>
      <c r="K18" s="34"/>
      <c r="L18" s="34"/>
      <c r="M18" s="34"/>
    </row>
    <row r="19" spans="1:13" x14ac:dyDescent="0.25">
      <c r="A19" s="27">
        <v>11</v>
      </c>
      <c r="B19" s="28" t="s">
        <v>71</v>
      </c>
      <c r="C19" s="27" t="s">
        <v>130</v>
      </c>
      <c r="D19" s="29" t="s">
        <v>38</v>
      </c>
      <c r="E19" s="30">
        <v>46146</v>
      </c>
      <c r="F19" s="30"/>
      <c r="G19" s="30"/>
      <c r="H19" s="29" t="s">
        <v>27</v>
      </c>
      <c r="I19" s="31">
        <f t="shared" si="1"/>
        <v>0.82499999999999996</v>
      </c>
      <c r="J19" s="34">
        <v>0.82499999999999996</v>
      </c>
      <c r="K19" s="34"/>
      <c r="L19" s="34"/>
      <c r="M19" s="34"/>
    </row>
    <row r="20" spans="1:13" x14ac:dyDescent="0.25">
      <c r="A20" s="27">
        <v>12</v>
      </c>
      <c r="B20" s="28" t="s">
        <v>71</v>
      </c>
      <c r="C20" s="27" t="s">
        <v>126</v>
      </c>
      <c r="D20" s="29" t="s">
        <v>38</v>
      </c>
      <c r="E20" s="30">
        <v>46146</v>
      </c>
      <c r="F20" s="30"/>
      <c r="G20" s="30"/>
      <c r="H20" s="29" t="s">
        <v>27</v>
      </c>
      <c r="I20" s="31">
        <f t="shared" si="1"/>
        <v>0.82499999999999996</v>
      </c>
      <c r="J20" s="34">
        <v>0.82499999999999996</v>
      </c>
      <c r="K20" s="34"/>
      <c r="L20" s="34"/>
      <c r="M20" s="34"/>
    </row>
    <row r="21" spans="1:13" x14ac:dyDescent="0.25">
      <c r="A21" s="27">
        <v>13</v>
      </c>
      <c r="B21" s="28" t="s">
        <v>71</v>
      </c>
      <c r="C21" s="27" t="s">
        <v>76</v>
      </c>
      <c r="D21" s="29" t="s">
        <v>38</v>
      </c>
      <c r="E21" s="30">
        <v>46146</v>
      </c>
      <c r="F21" s="30"/>
      <c r="G21" s="30"/>
      <c r="H21" s="29" t="s">
        <v>27</v>
      </c>
      <c r="I21" s="31">
        <f t="shared" si="1"/>
        <v>1.075</v>
      </c>
      <c r="J21" s="34">
        <v>1.075</v>
      </c>
      <c r="K21" s="34"/>
      <c r="L21" s="34"/>
      <c r="M21" s="34"/>
    </row>
    <row r="22" spans="1:13" x14ac:dyDescent="0.25">
      <c r="A22" s="27">
        <v>14</v>
      </c>
      <c r="B22" s="28" t="s">
        <v>71</v>
      </c>
      <c r="C22" s="27" t="s">
        <v>116</v>
      </c>
      <c r="D22" s="29" t="s">
        <v>38</v>
      </c>
      <c r="E22" s="30">
        <v>46146</v>
      </c>
      <c r="F22" s="30"/>
      <c r="G22" s="30"/>
      <c r="H22" s="29" t="s">
        <v>27</v>
      </c>
      <c r="I22" s="31">
        <f t="shared" si="1"/>
        <v>0.32500000000000001</v>
      </c>
      <c r="J22" s="34">
        <v>0.32500000000000001</v>
      </c>
      <c r="K22" s="34"/>
      <c r="L22" s="34"/>
      <c r="M22" s="34"/>
    </row>
    <row r="23" spans="1:13" x14ac:dyDescent="0.25">
      <c r="A23" s="27">
        <v>15</v>
      </c>
      <c r="B23" s="28" t="s">
        <v>71</v>
      </c>
      <c r="C23" s="27" t="s">
        <v>120</v>
      </c>
      <c r="D23" s="29" t="s">
        <v>38</v>
      </c>
      <c r="E23" s="30">
        <v>46146</v>
      </c>
      <c r="F23" s="30"/>
      <c r="G23" s="30"/>
      <c r="H23" s="29" t="s">
        <v>27</v>
      </c>
      <c r="I23" s="31">
        <f t="shared" si="1"/>
        <v>0.32500000000000001</v>
      </c>
      <c r="J23" s="34">
        <v>0.32500000000000001</v>
      </c>
      <c r="K23" s="34"/>
      <c r="L23" s="34"/>
      <c r="M23" s="34"/>
    </row>
    <row r="24" spans="1:13" x14ac:dyDescent="0.25">
      <c r="A24" s="27">
        <v>16</v>
      </c>
      <c r="B24" s="28" t="s">
        <v>71</v>
      </c>
      <c r="C24" s="27" t="s">
        <v>116</v>
      </c>
      <c r="D24" s="29" t="s">
        <v>38</v>
      </c>
      <c r="E24" s="30">
        <v>46146</v>
      </c>
      <c r="F24" s="30"/>
      <c r="G24" s="30"/>
      <c r="H24" s="29" t="s">
        <v>27</v>
      </c>
      <c r="I24" s="31">
        <f t="shared" si="1"/>
        <v>0.57499999999999996</v>
      </c>
      <c r="J24" s="34">
        <v>0.57499999999999996</v>
      </c>
      <c r="K24" s="34"/>
      <c r="L24" s="34"/>
      <c r="M24" s="34"/>
    </row>
    <row r="25" spans="1:13" x14ac:dyDescent="0.25">
      <c r="A25" s="27">
        <v>17</v>
      </c>
      <c r="B25" s="28" t="s">
        <v>71</v>
      </c>
      <c r="C25" s="27" t="s">
        <v>128</v>
      </c>
      <c r="D25" s="29" t="s">
        <v>38</v>
      </c>
      <c r="E25" s="30">
        <v>46146</v>
      </c>
      <c r="F25" s="30"/>
      <c r="G25" s="30"/>
      <c r="H25" s="29" t="s">
        <v>27</v>
      </c>
      <c r="I25" s="31">
        <f t="shared" si="1"/>
        <v>0.57499999999999996</v>
      </c>
      <c r="J25" s="34">
        <v>0.57499999999999996</v>
      </c>
      <c r="K25" s="34"/>
      <c r="L25" s="34"/>
      <c r="M25" s="34"/>
    </row>
    <row r="26" spans="1:13" x14ac:dyDescent="0.25">
      <c r="A26" s="27">
        <v>18</v>
      </c>
      <c r="B26" s="28" t="s">
        <v>71</v>
      </c>
      <c r="C26" s="27" t="s">
        <v>125</v>
      </c>
      <c r="D26" s="29" t="s">
        <v>38</v>
      </c>
      <c r="E26" s="30">
        <v>46146</v>
      </c>
      <c r="F26" s="30"/>
      <c r="G26" s="30"/>
      <c r="H26" s="29" t="s">
        <v>27</v>
      </c>
      <c r="I26" s="31">
        <f t="shared" si="1"/>
        <v>1.575</v>
      </c>
      <c r="J26" s="34">
        <v>1.575</v>
      </c>
      <c r="K26" s="34"/>
      <c r="L26" s="34"/>
      <c r="M26" s="34"/>
    </row>
    <row r="27" spans="1:13" x14ac:dyDescent="0.25">
      <c r="A27" s="27">
        <v>19</v>
      </c>
      <c r="B27" s="28" t="s">
        <v>71</v>
      </c>
      <c r="C27" s="27" t="s">
        <v>75</v>
      </c>
      <c r="D27" s="29" t="s">
        <v>38</v>
      </c>
      <c r="E27" s="30">
        <v>46146</v>
      </c>
      <c r="F27" s="30"/>
      <c r="G27" s="30"/>
      <c r="H27" s="29" t="s">
        <v>27</v>
      </c>
      <c r="I27" s="31">
        <f t="shared" si="1"/>
        <v>0.57499999999999996</v>
      </c>
      <c r="J27" s="34">
        <v>0.57499999999999996</v>
      </c>
      <c r="K27" s="34"/>
      <c r="L27" s="34"/>
      <c r="M27" s="34"/>
    </row>
    <row r="28" spans="1:13" x14ac:dyDescent="0.25">
      <c r="A28" s="27">
        <v>20</v>
      </c>
      <c r="B28" s="28" t="s">
        <v>71</v>
      </c>
      <c r="C28" s="27" t="s">
        <v>124</v>
      </c>
      <c r="D28" s="29" t="s">
        <v>38</v>
      </c>
      <c r="E28" s="30">
        <v>46146</v>
      </c>
      <c r="F28" s="30"/>
      <c r="G28" s="30"/>
      <c r="H28" s="29" t="s">
        <v>27</v>
      </c>
      <c r="I28" s="31">
        <f t="shared" si="1"/>
        <v>1.075</v>
      </c>
      <c r="J28" s="34">
        <v>1.075</v>
      </c>
      <c r="K28" s="34"/>
      <c r="L28" s="34"/>
      <c r="M28" s="34"/>
    </row>
    <row r="29" spans="1:13" x14ac:dyDescent="0.25">
      <c r="A29" s="27">
        <v>21</v>
      </c>
      <c r="B29" s="28" t="s">
        <v>71</v>
      </c>
      <c r="C29" s="27" t="s">
        <v>125</v>
      </c>
      <c r="D29" s="29" t="s">
        <v>38</v>
      </c>
      <c r="E29" s="30">
        <v>46146</v>
      </c>
      <c r="F29" s="30"/>
      <c r="G29" s="30"/>
      <c r="H29" s="29" t="s">
        <v>27</v>
      </c>
      <c r="I29" s="31">
        <f t="shared" si="1"/>
        <v>0.57499999999999996</v>
      </c>
      <c r="J29" s="34">
        <v>0.57499999999999996</v>
      </c>
      <c r="K29" s="34"/>
      <c r="L29" s="34"/>
      <c r="M29" s="34"/>
    </row>
    <row r="30" spans="1:13" x14ac:dyDescent="0.25">
      <c r="A30" s="27">
        <v>22</v>
      </c>
      <c r="B30" s="28" t="s">
        <v>71</v>
      </c>
      <c r="C30" s="27" t="s">
        <v>131</v>
      </c>
      <c r="D30" s="29" t="s">
        <v>38</v>
      </c>
      <c r="E30" s="30">
        <v>46146</v>
      </c>
      <c r="F30" s="30"/>
      <c r="G30" s="30"/>
      <c r="H30" s="29" t="s">
        <v>27</v>
      </c>
      <c r="I30" s="31">
        <f t="shared" si="1"/>
        <v>0.22499999999999998</v>
      </c>
      <c r="J30" s="34">
        <v>0.22499999999999998</v>
      </c>
      <c r="K30" s="34"/>
      <c r="L30" s="34"/>
      <c r="M30" s="34"/>
    </row>
    <row r="31" spans="1:13" x14ac:dyDescent="0.25">
      <c r="A31" s="27">
        <v>23</v>
      </c>
      <c r="B31" s="28" t="s">
        <v>71</v>
      </c>
      <c r="C31" s="27" t="s">
        <v>117</v>
      </c>
      <c r="D31" s="29" t="s">
        <v>38</v>
      </c>
      <c r="E31" s="30">
        <v>46146</v>
      </c>
      <c r="F31" s="30"/>
      <c r="G31" s="30"/>
      <c r="H31" s="29" t="s">
        <v>27</v>
      </c>
      <c r="I31" s="31">
        <f t="shared" si="1"/>
        <v>0.57499999999999996</v>
      </c>
      <c r="J31" s="34">
        <v>0.57499999999999996</v>
      </c>
      <c r="K31" s="34"/>
      <c r="L31" s="34"/>
      <c r="M31" s="34"/>
    </row>
    <row r="32" spans="1:13" x14ac:dyDescent="0.25">
      <c r="A32" s="27">
        <v>24</v>
      </c>
      <c r="B32" s="28" t="s">
        <v>71</v>
      </c>
      <c r="C32" s="27" t="s">
        <v>123</v>
      </c>
      <c r="D32" s="29" t="s">
        <v>38</v>
      </c>
      <c r="E32" s="30">
        <v>46146</v>
      </c>
      <c r="F32" s="30"/>
      <c r="G32" s="30"/>
      <c r="H32" s="29" t="s">
        <v>27</v>
      </c>
      <c r="I32" s="31">
        <f t="shared" si="1"/>
        <v>0.57499999999999996</v>
      </c>
      <c r="J32" s="34">
        <v>0.57499999999999996</v>
      </c>
      <c r="K32" s="34"/>
      <c r="L32" s="34"/>
      <c r="M32" s="34"/>
    </row>
    <row r="33" spans="1:13" x14ac:dyDescent="0.25">
      <c r="A33" s="27">
        <v>25</v>
      </c>
      <c r="B33" s="28" t="s">
        <v>71</v>
      </c>
      <c r="C33" s="27" t="s">
        <v>115</v>
      </c>
      <c r="D33" s="29" t="s">
        <v>38</v>
      </c>
      <c r="E33" s="30">
        <v>46146</v>
      </c>
      <c r="F33" s="30"/>
      <c r="G33" s="30"/>
      <c r="H33" s="29" t="s">
        <v>27</v>
      </c>
      <c r="I33" s="31">
        <f t="shared" si="1"/>
        <v>0.57499999999999996</v>
      </c>
      <c r="J33" s="34">
        <v>0.57499999999999996</v>
      </c>
      <c r="K33" s="34"/>
      <c r="L33" s="34"/>
      <c r="M33" s="34"/>
    </row>
    <row r="34" spans="1:13" x14ac:dyDescent="0.25">
      <c r="A34" s="27">
        <v>26</v>
      </c>
      <c r="B34" s="28" t="s">
        <v>71</v>
      </c>
      <c r="C34" s="27" t="s">
        <v>110</v>
      </c>
      <c r="D34" s="29" t="s">
        <v>38</v>
      </c>
      <c r="E34" s="30">
        <v>46146</v>
      </c>
      <c r="F34" s="30"/>
      <c r="G34" s="30"/>
      <c r="H34" s="29" t="s">
        <v>27</v>
      </c>
      <c r="I34" s="31">
        <f t="shared" si="1"/>
        <v>0.57499999999999996</v>
      </c>
      <c r="J34" s="34">
        <v>0.57499999999999996</v>
      </c>
      <c r="K34" s="34"/>
      <c r="L34" s="34"/>
      <c r="M34" s="34"/>
    </row>
    <row r="35" spans="1:13" x14ac:dyDescent="0.25">
      <c r="A35" s="27">
        <v>27</v>
      </c>
      <c r="B35" s="28" t="s">
        <v>71</v>
      </c>
      <c r="C35" s="27" t="s">
        <v>75</v>
      </c>
      <c r="D35" s="29" t="s">
        <v>38</v>
      </c>
      <c r="E35" s="30">
        <v>46146</v>
      </c>
      <c r="F35" s="30"/>
      <c r="G35" s="30"/>
      <c r="H35" s="29" t="s">
        <v>27</v>
      </c>
      <c r="I35" s="31">
        <f t="shared" si="1"/>
        <v>0.82499999999999996</v>
      </c>
      <c r="J35" s="34">
        <v>0.82499999999999996</v>
      </c>
      <c r="K35" s="34"/>
      <c r="L35" s="34"/>
      <c r="M35" s="34"/>
    </row>
    <row r="36" spans="1:13" x14ac:dyDescent="0.25">
      <c r="A36" s="27">
        <v>28</v>
      </c>
      <c r="B36" s="28" t="s">
        <v>71</v>
      </c>
      <c r="C36" s="27" t="s">
        <v>132</v>
      </c>
      <c r="D36" s="29" t="s">
        <v>38</v>
      </c>
      <c r="E36" s="30">
        <v>46146</v>
      </c>
      <c r="F36" s="30"/>
      <c r="G36" s="30"/>
      <c r="H36" s="29" t="s">
        <v>27</v>
      </c>
      <c r="I36" s="31">
        <f t="shared" si="1"/>
        <v>0.57499999999999996</v>
      </c>
      <c r="J36" s="34">
        <v>0.57499999999999996</v>
      </c>
      <c r="K36" s="34"/>
      <c r="L36" s="34"/>
      <c r="M36" s="34"/>
    </row>
    <row r="37" spans="1:13" x14ac:dyDescent="0.25">
      <c r="A37" s="27">
        <v>29</v>
      </c>
      <c r="B37" s="28" t="s">
        <v>71</v>
      </c>
      <c r="C37" s="27" t="s">
        <v>119</v>
      </c>
      <c r="D37" s="29" t="s">
        <v>38</v>
      </c>
      <c r="E37" s="30">
        <v>46146</v>
      </c>
      <c r="F37" s="30"/>
      <c r="G37" s="30"/>
      <c r="H37" s="29" t="s">
        <v>27</v>
      </c>
      <c r="I37" s="31">
        <f t="shared" si="1"/>
        <v>0.57499999999999996</v>
      </c>
      <c r="J37" s="34">
        <v>0.57499999999999996</v>
      </c>
      <c r="K37" s="34"/>
      <c r="L37" s="34"/>
      <c r="M37" s="34"/>
    </row>
    <row r="38" spans="1:13" x14ac:dyDescent="0.25">
      <c r="A38" s="27">
        <v>30</v>
      </c>
      <c r="B38" s="28" t="s">
        <v>71</v>
      </c>
      <c r="C38" s="27" t="s">
        <v>133</v>
      </c>
      <c r="D38" s="29" t="s">
        <v>38</v>
      </c>
      <c r="E38" s="30">
        <v>46146</v>
      </c>
      <c r="F38" s="30"/>
      <c r="G38" s="30"/>
      <c r="H38" s="29" t="s">
        <v>27</v>
      </c>
      <c r="I38" s="31">
        <f t="shared" si="1"/>
        <v>0.57499999999999996</v>
      </c>
      <c r="J38" s="34">
        <v>0.57499999999999996</v>
      </c>
      <c r="K38" s="34"/>
      <c r="L38" s="34"/>
      <c r="M38" s="34"/>
    </row>
    <row r="39" spans="1:13" x14ac:dyDescent="0.25">
      <c r="A39" s="27">
        <v>31</v>
      </c>
      <c r="B39" s="28" t="s">
        <v>71</v>
      </c>
      <c r="C39" s="27" t="s">
        <v>134</v>
      </c>
      <c r="D39" s="29" t="s">
        <v>38</v>
      </c>
      <c r="E39" s="30">
        <v>46146</v>
      </c>
      <c r="F39" s="30"/>
      <c r="G39" s="30"/>
      <c r="H39" s="29" t="s">
        <v>27</v>
      </c>
      <c r="I39" s="31">
        <f t="shared" si="1"/>
        <v>0.32500000000000001</v>
      </c>
      <c r="J39" s="34">
        <v>0.32500000000000001</v>
      </c>
      <c r="K39" s="34"/>
      <c r="L39" s="34"/>
      <c r="M39" s="34"/>
    </row>
    <row r="40" spans="1:13" x14ac:dyDescent="0.25">
      <c r="A40" s="27">
        <v>32</v>
      </c>
      <c r="B40" s="28" t="s">
        <v>71</v>
      </c>
      <c r="C40" s="27" t="s">
        <v>73</v>
      </c>
      <c r="D40" s="29" t="s">
        <v>38</v>
      </c>
      <c r="E40" s="30">
        <v>46146</v>
      </c>
      <c r="F40" s="30"/>
      <c r="G40" s="30"/>
      <c r="H40" s="29" t="s">
        <v>27</v>
      </c>
      <c r="I40" s="31">
        <f t="shared" si="1"/>
        <v>0.57499999999999996</v>
      </c>
      <c r="J40" s="34">
        <v>0.57499999999999996</v>
      </c>
      <c r="K40" s="34"/>
      <c r="L40" s="34"/>
      <c r="M40" s="34"/>
    </row>
    <row r="41" spans="1:13" x14ac:dyDescent="0.25">
      <c r="A41" s="27">
        <v>33</v>
      </c>
      <c r="B41" s="28" t="s">
        <v>71</v>
      </c>
      <c r="C41" s="27" t="s">
        <v>122</v>
      </c>
      <c r="D41" s="29" t="s">
        <v>38</v>
      </c>
      <c r="E41" s="30">
        <v>46146</v>
      </c>
      <c r="F41" s="30"/>
      <c r="G41" s="30"/>
      <c r="H41" s="29" t="s">
        <v>27</v>
      </c>
      <c r="I41" s="31">
        <f t="shared" si="1"/>
        <v>0.57499999999999996</v>
      </c>
      <c r="J41" s="34">
        <v>0.57499999999999996</v>
      </c>
      <c r="K41" s="34"/>
      <c r="L41" s="34"/>
      <c r="M41" s="34"/>
    </row>
    <row r="42" spans="1:13" x14ac:dyDescent="0.25">
      <c r="A42" s="27">
        <v>34</v>
      </c>
      <c r="B42" s="28" t="s">
        <v>71</v>
      </c>
      <c r="C42" s="27" t="s">
        <v>121</v>
      </c>
      <c r="D42" s="29" t="s">
        <v>38</v>
      </c>
      <c r="E42" s="30">
        <v>46146</v>
      </c>
      <c r="F42" s="30"/>
      <c r="G42" s="30"/>
      <c r="H42" s="29" t="s">
        <v>27</v>
      </c>
      <c r="I42" s="31">
        <f t="shared" si="1"/>
        <v>0.57499999999999996</v>
      </c>
      <c r="J42" s="34">
        <v>0.57499999999999996</v>
      </c>
      <c r="K42" s="34"/>
      <c r="L42" s="34"/>
      <c r="M42" s="34"/>
    </row>
    <row r="43" spans="1:13" x14ac:dyDescent="0.25">
      <c r="A43" s="27">
        <v>35</v>
      </c>
      <c r="B43" s="28" t="s">
        <v>71</v>
      </c>
      <c r="C43" s="27" t="s">
        <v>123</v>
      </c>
      <c r="D43" s="29" t="s">
        <v>38</v>
      </c>
      <c r="E43" s="30">
        <v>46146</v>
      </c>
      <c r="F43" s="30"/>
      <c r="G43" s="30"/>
      <c r="H43" s="29" t="s">
        <v>27</v>
      </c>
      <c r="I43" s="31">
        <f t="shared" si="1"/>
        <v>1.075</v>
      </c>
      <c r="J43" s="34">
        <v>1.075</v>
      </c>
      <c r="K43" s="34"/>
      <c r="L43" s="34"/>
      <c r="M43" s="34"/>
    </row>
    <row r="44" spans="1:13" x14ac:dyDescent="0.25">
      <c r="A44" s="27">
        <v>36</v>
      </c>
      <c r="B44" s="28" t="s">
        <v>71</v>
      </c>
      <c r="C44" s="27" t="s">
        <v>129</v>
      </c>
      <c r="D44" s="29" t="s">
        <v>38</v>
      </c>
      <c r="E44" s="30">
        <v>46146</v>
      </c>
      <c r="F44" s="30"/>
      <c r="G44" s="30"/>
      <c r="H44" s="29" t="s">
        <v>27</v>
      </c>
      <c r="I44" s="31">
        <f t="shared" si="1"/>
        <v>0.82499999999999996</v>
      </c>
      <c r="J44" s="34">
        <v>0.82499999999999996</v>
      </c>
      <c r="K44" s="34"/>
      <c r="L44" s="34"/>
      <c r="M44" s="34"/>
    </row>
    <row r="45" spans="1:13" x14ac:dyDescent="0.25">
      <c r="A45" s="27">
        <v>37</v>
      </c>
      <c r="B45" s="28" t="s">
        <v>71</v>
      </c>
      <c r="C45" s="27" t="s">
        <v>74</v>
      </c>
      <c r="D45" s="29" t="s">
        <v>38</v>
      </c>
      <c r="E45" s="30">
        <v>46146</v>
      </c>
      <c r="F45" s="30"/>
      <c r="G45" s="30"/>
      <c r="H45" s="29" t="s">
        <v>27</v>
      </c>
      <c r="I45" s="31">
        <f t="shared" si="1"/>
        <v>0.82499999999999996</v>
      </c>
      <c r="J45" s="34">
        <v>0.82499999999999996</v>
      </c>
      <c r="K45" s="34"/>
      <c r="L45" s="34"/>
      <c r="M45" s="34"/>
    </row>
    <row r="46" spans="1:13" x14ac:dyDescent="0.25">
      <c r="A46" s="27">
        <v>38</v>
      </c>
      <c r="B46" s="28" t="s">
        <v>71</v>
      </c>
      <c r="C46" s="27" t="s">
        <v>111</v>
      </c>
      <c r="D46" s="29" t="s">
        <v>38</v>
      </c>
      <c r="E46" s="30">
        <v>46146</v>
      </c>
      <c r="F46" s="30"/>
      <c r="G46" s="30"/>
      <c r="H46" s="29" t="s">
        <v>27</v>
      </c>
      <c r="I46" s="31">
        <f t="shared" si="1"/>
        <v>1.075</v>
      </c>
      <c r="J46" s="34">
        <v>1.075</v>
      </c>
      <c r="K46" s="34"/>
      <c r="L46" s="34"/>
      <c r="M46" s="34"/>
    </row>
    <row r="47" spans="1:13" x14ac:dyDescent="0.25">
      <c r="A47" s="27">
        <v>39</v>
      </c>
      <c r="B47" s="28" t="s">
        <v>71</v>
      </c>
      <c r="C47" s="27" t="s">
        <v>18</v>
      </c>
      <c r="D47" s="29" t="s">
        <v>38</v>
      </c>
      <c r="E47" s="30">
        <v>46146</v>
      </c>
      <c r="F47" s="30"/>
      <c r="G47" s="30"/>
      <c r="H47" s="29" t="s">
        <v>27</v>
      </c>
      <c r="I47" s="31">
        <f t="shared" si="1"/>
        <v>6</v>
      </c>
      <c r="J47" s="34">
        <v>6</v>
      </c>
      <c r="K47" s="34"/>
      <c r="L47" s="34"/>
      <c r="M47" s="34"/>
    </row>
    <row r="48" spans="1:13" x14ac:dyDescent="0.25">
      <c r="A48" s="27">
        <v>40</v>
      </c>
      <c r="B48" s="28" t="s">
        <v>71</v>
      </c>
      <c r="C48" s="27" t="s">
        <v>135</v>
      </c>
      <c r="D48" s="29" t="s">
        <v>38</v>
      </c>
      <c r="E48" s="30">
        <v>46153</v>
      </c>
      <c r="F48" s="30"/>
      <c r="G48" s="30"/>
      <c r="H48" s="29" t="s">
        <v>27</v>
      </c>
      <c r="I48" s="31">
        <f t="shared" si="1"/>
        <v>0.33</v>
      </c>
      <c r="K48" s="34">
        <v>0.33</v>
      </c>
      <c r="L48" s="34"/>
      <c r="M48" s="34"/>
    </row>
    <row r="49" spans="1:13" x14ac:dyDescent="0.25">
      <c r="A49" s="27">
        <v>41</v>
      </c>
      <c r="B49" s="28" t="s">
        <v>71</v>
      </c>
      <c r="C49" s="27" t="s">
        <v>136</v>
      </c>
      <c r="D49" s="29" t="s">
        <v>38</v>
      </c>
      <c r="E49" s="30">
        <v>46153</v>
      </c>
      <c r="F49" s="30"/>
      <c r="G49" s="30"/>
      <c r="H49" s="29" t="s">
        <v>27</v>
      </c>
      <c r="I49" s="31">
        <f t="shared" si="1"/>
        <v>0.33</v>
      </c>
      <c r="K49" s="34">
        <v>0.33</v>
      </c>
      <c r="L49" s="34"/>
      <c r="M49" s="34"/>
    </row>
    <row r="50" spans="1:13" x14ac:dyDescent="0.25">
      <c r="A50" s="27">
        <v>42</v>
      </c>
      <c r="B50" s="28" t="s">
        <v>71</v>
      </c>
      <c r="C50" s="27" t="s">
        <v>110</v>
      </c>
      <c r="D50" s="29" t="s">
        <v>38</v>
      </c>
      <c r="E50" s="30">
        <v>46153</v>
      </c>
      <c r="F50" s="30"/>
      <c r="G50" s="30"/>
      <c r="H50" s="29" t="s">
        <v>27</v>
      </c>
      <c r="I50" s="31">
        <f t="shared" si="1"/>
        <v>0.33</v>
      </c>
      <c r="K50" s="34">
        <v>0.33</v>
      </c>
      <c r="L50" s="34"/>
      <c r="M50" s="34"/>
    </row>
    <row r="51" spans="1:13" x14ac:dyDescent="0.25">
      <c r="A51" s="27">
        <v>43</v>
      </c>
      <c r="B51" s="28" t="s">
        <v>71</v>
      </c>
      <c r="C51" s="27" t="s">
        <v>137</v>
      </c>
      <c r="D51" s="29" t="s">
        <v>38</v>
      </c>
      <c r="E51" s="30">
        <v>46153</v>
      </c>
      <c r="F51" s="30"/>
      <c r="G51" s="30"/>
      <c r="H51" s="29" t="s">
        <v>27</v>
      </c>
      <c r="I51" s="31">
        <f t="shared" si="1"/>
        <v>0.33</v>
      </c>
      <c r="K51" s="34">
        <v>0.33</v>
      </c>
      <c r="L51" s="34"/>
      <c r="M51" s="34"/>
    </row>
    <row r="52" spans="1:13" x14ac:dyDescent="0.25">
      <c r="A52" s="27">
        <v>44</v>
      </c>
      <c r="B52" s="28" t="s">
        <v>71</v>
      </c>
      <c r="C52" s="27" t="s">
        <v>72</v>
      </c>
      <c r="D52" s="29" t="s">
        <v>38</v>
      </c>
      <c r="E52" s="30">
        <v>46153</v>
      </c>
      <c r="F52" s="30"/>
      <c r="G52" s="30"/>
      <c r="H52" s="29" t="s">
        <v>27</v>
      </c>
      <c r="I52" s="31">
        <f t="shared" si="1"/>
        <v>0.33</v>
      </c>
      <c r="K52" s="34">
        <v>0.33</v>
      </c>
      <c r="L52" s="34"/>
      <c r="M52" s="34"/>
    </row>
    <row r="53" spans="1:13" x14ac:dyDescent="0.25">
      <c r="A53" s="27">
        <v>45</v>
      </c>
      <c r="B53" s="28" t="s">
        <v>71</v>
      </c>
      <c r="C53" s="27" t="s">
        <v>74</v>
      </c>
      <c r="D53" s="29" t="s">
        <v>38</v>
      </c>
      <c r="E53" s="30">
        <v>46153</v>
      </c>
      <c r="F53" s="30"/>
      <c r="G53" s="30"/>
      <c r="H53" s="29" t="s">
        <v>27</v>
      </c>
      <c r="I53" s="31">
        <f t="shared" si="1"/>
        <v>0.33</v>
      </c>
      <c r="K53" s="34">
        <v>0.33</v>
      </c>
      <c r="L53" s="34"/>
      <c r="M53" s="34"/>
    </row>
    <row r="54" spans="1:13" x14ac:dyDescent="0.25">
      <c r="A54" s="27">
        <v>46</v>
      </c>
      <c r="B54" s="28" t="s">
        <v>71</v>
      </c>
      <c r="C54" s="27" t="s">
        <v>138</v>
      </c>
      <c r="D54" s="29" t="s">
        <v>38</v>
      </c>
      <c r="E54" s="30">
        <v>46153</v>
      </c>
      <c r="F54" s="30"/>
      <c r="G54" s="30"/>
      <c r="H54" s="29" t="s">
        <v>27</v>
      </c>
      <c r="I54" s="31">
        <f t="shared" si="1"/>
        <v>0.33</v>
      </c>
      <c r="K54" s="34">
        <v>0.33</v>
      </c>
      <c r="L54" s="34"/>
      <c r="M54" s="34"/>
    </row>
    <row r="55" spans="1:13" x14ac:dyDescent="0.25">
      <c r="A55" s="27">
        <v>47</v>
      </c>
      <c r="B55" s="28" t="s">
        <v>71</v>
      </c>
      <c r="C55" s="27" t="s">
        <v>139</v>
      </c>
      <c r="D55" s="29" t="s">
        <v>38</v>
      </c>
      <c r="E55" s="30">
        <v>46153</v>
      </c>
      <c r="F55" s="30"/>
      <c r="G55" s="30"/>
      <c r="H55" s="29" t="s">
        <v>27</v>
      </c>
      <c r="I55" s="31">
        <f t="shared" si="1"/>
        <v>0.33</v>
      </c>
      <c r="K55" s="34">
        <v>0.33</v>
      </c>
      <c r="L55" s="34"/>
      <c r="M55" s="34"/>
    </row>
    <row r="56" spans="1:13" x14ac:dyDescent="0.25">
      <c r="A56" s="27">
        <v>48</v>
      </c>
      <c r="B56" s="28" t="s">
        <v>71</v>
      </c>
      <c r="C56" s="27" t="s">
        <v>72</v>
      </c>
      <c r="D56" s="29" t="s">
        <v>38</v>
      </c>
      <c r="E56" s="30">
        <v>46153</v>
      </c>
      <c r="F56" s="30"/>
      <c r="G56" s="30"/>
      <c r="H56" s="29" t="s">
        <v>27</v>
      </c>
      <c r="I56" s="31">
        <f t="shared" si="1"/>
        <v>0.17</v>
      </c>
      <c r="J56" s="34"/>
      <c r="K56" s="34">
        <v>0.17</v>
      </c>
      <c r="L56" s="34"/>
      <c r="M56" s="34"/>
    </row>
    <row r="57" spans="1:13" x14ac:dyDescent="0.25">
      <c r="A57" s="27">
        <v>49</v>
      </c>
      <c r="B57" s="28" t="s">
        <v>71</v>
      </c>
      <c r="C57" s="27" t="s">
        <v>111</v>
      </c>
      <c r="D57" s="29" t="s">
        <v>38</v>
      </c>
      <c r="E57" s="30">
        <v>46153</v>
      </c>
      <c r="F57" s="30"/>
      <c r="G57" s="30"/>
      <c r="H57" s="29" t="s">
        <v>27</v>
      </c>
      <c r="I57" s="31">
        <f t="shared" si="1"/>
        <v>0.17</v>
      </c>
      <c r="J57" s="34"/>
      <c r="K57" s="34">
        <v>0.17</v>
      </c>
      <c r="L57" s="34"/>
      <c r="M57" s="34"/>
    </row>
    <row r="58" spans="1:13" x14ac:dyDescent="0.25">
      <c r="A58" s="27">
        <v>50</v>
      </c>
      <c r="B58" s="28" t="s">
        <v>71</v>
      </c>
      <c r="C58" s="27" t="s">
        <v>140</v>
      </c>
      <c r="D58" s="29" t="s">
        <v>38</v>
      </c>
      <c r="E58" s="30">
        <v>46153</v>
      </c>
      <c r="F58" s="30"/>
      <c r="G58" s="30"/>
      <c r="H58" s="29" t="s">
        <v>27</v>
      </c>
      <c r="I58" s="31">
        <f t="shared" si="1"/>
        <v>0.17</v>
      </c>
      <c r="J58" s="34"/>
      <c r="K58" s="34">
        <v>0.17</v>
      </c>
      <c r="L58" s="34"/>
      <c r="M58" s="34"/>
    </row>
    <row r="59" spans="1:13" x14ac:dyDescent="0.25">
      <c r="A59" s="27">
        <v>51</v>
      </c>
      <c r="B59" s="28" t="s">
        <v>71</v>
      </c>
      <c r="C59" s="27" t="s">
        <v>112</v>
      </c>
      <c r="D59" s="29" t="s">
        <v>38</v>
      </c>
      <c r="E59" s="30">
        <v>46153</v>
      </c>
      <c r="F59" s="30"/>
      <c r="G59" s="30"/>
      <c r="H59" s="29" t="s">
        <v>27</v>
      </c>
      <c r="I59" s="31">
        <f t="shared" si="1"/>
        <v>0.67</v>
      </c>
      <c r="K59" s="34">
        <v>0.67</v>
      </c>
      <c r="L59" s="34"/>
      <c r="M59" s="34"/>
    </row>
    <row r="60" spans="1:13" x14ac:dyDescent="0.25">
      <c r="A60" s="27">
        <v>52</v>
      </c>
      <c r="B60" s="28" t="s">
        <v>71</v>
      </c>
      <c r="C60" s="27" t="s">
        <v>112</v>
      </c>
      <c r="D60" s="29" t="s">
        <v>38</v>
      </c>
      <c r="E60" s="30">
        <v>46153</v>
      </c>
      <c r="F60" s="30"/>
      <c r="G60" s="30"/>
      <c r="H60" s="29" t="s">
        <v>27</v>
      </c>
      <c r="I60" s="31">
        <f t="shared" si="1"/>
        <v>0.67</v>
      </c>
      <c r="K60" s="34">
        <v>0.67</v>
      </c>
      <c r="L60" s="34"/>
      <c r="M60" s="34"/>
    </row>
    <row r="61" spans="1:13" x14ac:dyDescent="0.25">
      <c r="A61" s="27">
        <v>53</v>
      </c>
      <c r="B61" s="28" t="s">
        <v>71</v>
      </c>
      <c r="C61" s="27" t="s">
        <v>141</v>
      </c>
      <c r="D61" s="29" t="s">
        <v>38</v>
      </c>
      <c r="E61" s="30">
        <v>46153</v>
      </c>
      <c r="F61" s="30"/>
      <c r="G61" s="30"/>
      <c r="H61" s="29" t="s">
        <v>27</v>
      </c>
      <c r="I61" s="31">
        <f t="shared" si="1"/>
        <v>0.67</v>
      </c>
      <c r="K61" s="34">
        <v>0.67</v>
      </c>
      <c r="L61" s="34"/>
      <c r="M61" s="34"/>
    </row>
    <row r="62" spans="1:13" x14ac:dyDescent="0.25">
      <c r="A62" s="27">
        <v>54</v>
      </c>
      <c r="B62" s="28" t="s">
        <v>71</v>
      </c>
      <c r="C62" s="27" t="s">
        <v>141</v>
      </c>
      <c r="D62" s="29" t="s">
        <v>38</v>
      </c>
      <c r="E62" s="30">
        <v>46153</v>
      </c>
      <c r="F62" s="30"/>
      <c r="G62" s="30"/>
      <c r="H62" s="29" t="s">
        <v>27</v>
      </c>
      <c r="I62" s="31">
        <f t="shared" si="1"/>
        <v>0.67</v>
      </c>
      <c r="K62" s="34">
        <v>0.67</v>
      </c>
      <c r="L62" s="34"/>
      <c r="M62" s="34"/>
    </row>
    <row r="63" spans="1:13" x14ac:dyDescent="0.25">
      <c r="A63" s="27">
        <v>55</v>
      </c>
      <c r="B63" s="28" t="s">
        <v>71</v>
      </c>
      <c r="C63" s="27" t="s">
        <v>113</v>
      </c>
      <c r="D63" s="29" t="s">
        <v>38</v>
      </c>
      <c r="E63" s="30">
        <v>46153</v>
      </c>
      <c r="F63" s="30"/>
      <c r="G63" s="30"/>
      <c r="H63" s="29" t="s">
        <v>27</v>
      </c>
      <c r="I63" s="31">
        <f t="shared" si="1"/>
        <v>0.88071428571428578</v>
      </c>
      <c r="J63" s="34"/>
      <c r="K63" s="34">
        <v>0.88071428571428578</v>
      </c>
      <c r="L63" s="34"/>
      <c r="M63" s="34"/>
    </row>
    <row r="64" spans="1:13" x14ac:dyDescent="0.25">
      <c r="A64" s="27">
        <v>56</v>
      </c>
      <c r="B64" s="28" t="s">
        <v>71</v>
      </c>
      <c r="C64" s="27" t="s">
        <v>113</v>
      </c>
      <c r="D64" s="29" t="s">
        <v>38</v>
      </c>
      <c r="E64" s="30">
        <v>46153</v>
      </c>
      <c r="F64" s="30"/>
      <c r="G64" s="30"/>
      <c r="H64" s="29" t="s">
        <v>27</v>
      </c>
      <c r="I64" s="31">
        <f t="shared" si="1"/>
        <v>0.63071428571428567</v>
      </c>
      <c r="J64" s="34"/>
      <c r="K64" s="34">
        <v>0.63071428571428567</v>
      </c>
      <c r="L64" s="34"/>
      <c r="M64" s="34"/>
    </row>
    <row r="65" spans="1:13" x14ac:dyDescent="0.25">
      <c r="A65" s="27">
        <v>57</v>
      </c>
      <c r="B65" s="28" t="s">
        <v>71</v>
      </c>
      <c r="C65" s="27" t="s">
        <v>140</v>
      </c>
      <c r="D65" s="29" t="s">
        <v>38</v>
      </c>
      <c r="E65" s="30">
        <v>46153</v>
      </c>
      <c r="F65" s="30"/>
      <c r="G65" s="30"/>
      <c r="H65" s="29" t="s">
        <v>27</v>
      </c>
      <c r="I65" s="31">
        <f t="shared" si="1"/>
        <v>0.42</v>
      </c>
      <c r="K65" s="34">
        <v>0.42</v>
      </c>
      <c r="L65" s="34"/>
      <c r="M65" s="34"/>
    </row>
    <row r="66" spans="1:13" x14ac:dyDescent="0.25">
      <c r="A66" s="27">
        <v>58</v>
      </c>
      <c r="B66" s="28" t="s">
        <v>71</v>
      </c>
      <c r="C66" s="27" t="s">
        <v>140</v>
      </c>
      <c r="D66" s="29" t="s">
        <v>38</v>
      </c>
      <c r="E66" s="30">
        <v>46153</v>
      </c>
      <c r="F66" s="30"/>
      <c r="G66" s="30"/>
      <c r="H66" s="29" t="s">
        <v>27</v>
      </c>
      <c r="I66" s="31">
        <f t="shared" si="1"/>
        <v>0.42</v>
      </c>
      <c r="K66" s="34">
        <v>0.42</v>
      </c>
      <c r="L66" s="34"/>
      <c r="M66" s="34"/>
    </row>
    <row r="67" spans="1:13" x14ac:dyDescent="0.25">
      <c r="A67" s="27">
        <v>59</v>
      </c>
      <c r="B67" s="28" t="s">
        <v>71</v>
      </c>
      <c r="C67" s="27" t="s">
        <v>114</v>
      </c>
      <c r="D67" s="29" t="s">
        <v>38</v>
      </c>
      <c r="E67" s="30">
        <v>46153</v>
      </c>
      <c r="F67" s="30"/>
      <c r="G67" s="30"/>
      <c r="H67" s="29" t="s">
        <v>27</v>
      </c>
      <c r="I67" s="31">
        <f t="shared" si="1"/>
        <v>0.63071428571428567</v>
      </c>
      <c r="J67" s="34"/>
      <c r="K67" s="34">
        <v>0.63071428571428567</v>
      </c>
      <c r="L67" s="34"/>
      <c r="M67" s="34"/>
    </row>
    <row r="68" spans="1:13" x14ac:dyDescent="0.25">
      <c r="A68" s="27">
        <v>60</v>
      </c>
      <c r="B68" s="28" t="s">
        <v>71</v>
      </c>
      <c r="C68" s="27" t="s">
        <v>114</v>
      </c>
      <c r="D68" s="29" t="s">
        <v>38</v>
      </c>
      <c r="E68" s="30">
        <v>46153</v>
      </c>
      <c r="F68" s="30"/>
      <c r="G68" s="30"/>
      <c r="H68" s="29" t="s">
        <v>27</v>
      </c>
      <c r="I68" s="31">
        <f t="shared" si="1"/>
        <v>0.42</v>
      </c>
      <c r="K68" s="34">
        <v>0.42</v>
      </c>
      <c r="L68" s="34"/>
      <c r="M68" s="34"/>
    </row>
    <row r="69" spans="1:13" x14ac:dyDescent="0.25">
      <c r="A69" s="27">
        <v>61</v>
      </c>
      <c r="B69" s="28" t="s">
        <v>71</v>
      </c>
      <c r="C69" s="27" t="s">
        <v>76</v>
      </c>
      <c r="D69" s="29" t="s">
        <v>38</v>
      </c>
      <c r="E69" s="30">
        <v>46153</v>
      </c>
      <c r="F69" s="30"/>
      <c r="G69" s="30"/>
      <c r="H69" s="29" t="s">
        <v>27</v>
      </c>
      <c r="I69" s="31">
        <f t="shared" si="1"/>
        <v>0.42</v>
      </c>
      <c r="K69" s="34">
        <v>0.42</v>
      </c>
      <c r="L69" s="34"/>
      <c r="M69" s="34"/>
    </row>
    <row r="70" spans="1:13" x14ac:dyDescent="0.25">
      <c r="A70" s="27">
        <v>62</v>
      </c>
      <c r="B70" s="28" t="s">
        <v>71</v>
      </c>
      <c r="C70" s="27" t="s">
        <v>115</v>
      </c>
      <c r="D70" s="29" t="s">
        <v>38</v>
      </c>
      <c r="E70" s="30">
        <v>46153</v>
      </c>
      <c r="F70" s="30"/>
      <c r="G70" s="30"/>
      <c r="H70" s="29" t="s">
        <v>27</v>
      </c>
      <c r="I70" s="31">
        <f t="shared" si="1"/>
        <v>0.42</v>
      </c>
      <c r="K70" s="34">
        <v>0.42</v>
      </c>
      <c r="L70" s="34"/>
      <c r="M70" s="34"/>
    </row>
    <row r="71" spans="1:13" x14ac:dyDescent="0.25">
      <c r="A71" s="27">
        <v>63</v>
      </c>
      <c r="B71" s="28" t="s">
        <v>71</v>
      </c>
      <c r="C71" s="27" t="s">
        <v>116</v>
      </c>
      <c r="D71" s="29" t="s">
        <v>38</v>
      </c>
      <c r="E71" s="30">
        <v>46153</v>
      </c>
      <c r="F71" s="30"/>
      <c r="G71" s="30"/>
      <c r="H71" s="29" t="s">
        <v>27</v>
      </c>
      <c r="I71" s="31">
        <f t="shared" si="1"/>
        <v>0.42</v>
      </c>
      <c r="K71" s="34">
        <v>0.42</v>
      </c>
      <c r="L71" s="34"/>
      <c r="M71" s="34"/>
    </row>
    <row r="72" spans="1:13" x14ac:dyDescent="0.25">
      <c r="A72" s="27">
        <v>64</v>
      </c>
      <c r="B72" s="28" t="s">
        <v>71</v>
      </c>
      <c r="C72" s="27" t="s">
        <v>117</v>
      </c>
      <c r="D72" s="29" t="s">
        <v>38</v>
      </c>
      <c r="E72" s="30">
        <v>46153</v>
      </c>
      <c r="F72" s="30"/>
      <c r="G72" s="30"/>
      <c r="H72" s="29" t="s">
        <v>27</v>
      </c>
      <c r="I72" s="31">
        <f t="shared" si="1"/>
        <v>0.42</v>
      </c>
      <c r="K72" s="34">
        <v>0.42</v>
      </c>
      <c r="L72" s="34"/>
      <c r="M72" s="34"/>
    </row>
    <row r="73" spans="1:13" x14ac:dyDescent="0.25">
      <c r="A73" s="27">
        <v>65</v>
      </c>
      <c r="B73" s="28" t="s">
        <v>71</v>
      </c>
      <c r="C73" s="27" t="s">
        <v>116</v>
      </c>
      <c r="D73" s="29" t="s">
        <v>38</v>
      </c>
      <c r="E73" s="30">
        <v>46153</v>
      </c>
      <c r="F73" s="30"/>
      <c r="G73" s="30"/>
      <c r="H73" s="29" t="s">
        <v>27</v>
      </c>
      <c r="I73" s="31">
        <f t="shared" si="1"/>
        <v>0.82</v>
      </c>
      <c r="J73" s="34"/>
      <c r="K73" s="34">
        <v>0.82</v>
      </c>
      <c r="L73" s="34"/>
      <c r="M73" s="34"/>
    </row>
    <row r="74" spans="1:13" x14ac:dyDescent="0.25">
      <c r="A74" s="27">
        <v>66</v>
      </c>
      <c r="B74" s="28" t="s">
        <v>71</v>
      </c>
      <c r="C74" s="27" t="s">
        <v>142</v>
      </c>
      <c r="D74" s="29" t="s">
        <v>38</v>
      </c>
      <c r="E74" s="30">
        <v>46153</v>
      </c>
      <c r="F74" s="30"/>
      <c r="G74" s="30"/>
      <c r="H74" s="29" t="s">
        <v>27</v>
      </c>
      <c r="I74" s="31">
        <f t="shared" ref="I74:I104" si="2">SUM(J74:K74)</f>
        <v>0.63071428571428567</v>
      </c>
      <c r="J74" s="34"/>
      <c r="K74" s="34">
        <v>0.63071428571428567</v>
      </c>
      <c r="L74" s="34"/>
      <c r="M74" s="34"/>
    </row>
    <row r="75" spans="1:13" x14ac:dyDescent="0.25">
      <c r="A75" s="27">
        <v>67</v>
      </c>
      <c r="B75" s="28" t="s">
        <v>71</v>
      </c>
      <c r="C75" s="27" t="s">
        <v>143</v>
      </c>
      <c r="D75" s="29" t="s">
        <v>38</v>
      </c>
      <c r="E75" s="30">
        <v>46153</v>
      </c>
      <c r="F75" s="30"/>
      <c r="G75" s="30"/>
      <c r="H75" s="29" t="s">
        <v>27</v>
      </c>
      <c r="I75" s="31">
        <f t="shared" si="2"/>
        <v>0.42</v>
      </c>
      <c r="K75" s="34">
        <v>0.42</v>
      </c>
      <c r="L75" s="34"/>
      <c r="M75" s="34"/>
    </row>
    <row r="76" spans="1:13" x14ac:dyDescent="0.25">
      <c r="A76" s="27">
        <v>68</v>
      </c>
      <c r="B76" s="28" t="s">
        <v>71</v>
      </c>
      <c r="C76" s="27" t="s">
        <v>118</v>
      </c>
      <c r="D76" s="29" t="s">
        <v>38</v>
      </c>
      <c r="E76" s="30">
        <v>46153</v>
      </c>
      <c r="F76" s="30"/>
      <c r="G76" s="30"/>
      <c r="H76" s="29" t="s">
        <v>27</v>
      </c>
      <c r="I76" s="31">
        <f t="shared" si="2"/>
        <v>0.42</v>
      </c>
      <c r="K76" s="34">
        <v>0.42</v>
      </c>
      <c r="L76" s="34"/>
      <c r="M76" s="34"/>
    </row>
    <row r="77" spans="1:13" x14ac:dyDescent="0.25">
      <c r="A77" s="27">
        <v>69</v>
      </c>
      <c r="B77" s="28" t="s">
        <v>71</v>
      </c>
      <c r="C77" s="27" t="s">
        <v>119</v>
      </c>
      <c r="D77" s="29" t="s">
        <v>38</v>
      </c>
      <c r="E77" s="30">
        <v>46153</v>
      </c>
      <c r="F77" s="30"/>
      <c r="G77" s="30"/>
      <c r="H77" s="29" t="s">
        <v>27</v>
      </c>
      <c r="I77" s="31">
        <f t="shared" si="2"/>
        <v>0.42</v>
      </c>
      <c r="K77" s="34">
        <v>0.42</v>
      </c>
      <c r="L77" s="34"/>
      <c r="M77" s="34"/>
    </row>
    <row r="78" spans="1:13" x14ac:dyDescent="0.25">
      <c r="A78" s="27">
        <v>70</v>
      </c>
      <c r="B78" s="28" t="s">
        <v>71</v>
      </c>
      <c r="C78" s="27" t="s">
        <v>114</v>
      </c>
      <c r="D78" s="29" t="s">
        <v>38</v>
      </c>
      <c r="E78" s="30">
        <v>46153</v>
      </c>
      <c r="F78" s="30"/>
      <c r="G78" s="30"/>
      <c r="H78" s="29" t="s">
        <v>27</v>
      </c>
      <c r="I78" s="31">
        <f t="shared" si="2"/>
        <v>0.42</v>
      </c>
      <c r="K78" s="34">
        <v>0.42</v>
      </c>
      <c r="L78" s="34"/>
      <c r="M78" s="34"/>
    </row>
    <row r="79" spans="1:13" x14ac:dyDescent="0.25">
      <c r="A79" s="27">
        <v>71</v>
      </c>
      <c r="B79" s="28" t="s">
        <v>71</v>
      </c>
      <c r="C79" s="27" t="s">
        <v>72</v>
      </c>
      <c r="D79" s="29" t="s">
        <v>38</v>
      </c>
      <c r="E79" s="30">
        <v>46153</v>
      </c>
      <c r="F79" s="30"/>
      <c r="G79" s="30"/>
      <c r="H79" s="29" t="s">
        <v>27</v>
      </c>
      <c r="I79" s="31">
        <f t="shared" si="2"/>
        <v>0.17</v>
      </c>
      <c r="J79" s="34"/>
      <c r="K79" s="34">
        <v>0.17</v>
      </c>
      <c r="L79" s="34"/>
      <c r="M79" s="34"/>
    </row>
    <row r="80" spans="1:13" x14ac:dyDescent="0.25">
      <c r="A80" s="27">
        <v>72</v>
      </c>
      <c r="B80" s="28" t="s">
        <v>71</v>
      </c>
      <c r="C80" s="27" t="s">
        <v>138</v>
      </c>
      <c r="D80" s="29" t="s">
        <v>38</v>
      </c>
      <c r="E80" s="30">
        <v>46153</v>
      </c>
      <c r="F80" s="30"/>
      <c r="G80" s="30"/>
      <c r="H80" s="29" t="s">
        <v>27</v>
      </c>
      <c r="I80" s="31">
        <f t="shared" si="2"/>
        <v>0.17</v>
      </c>
      <c r="J80" s="34"/>
      <c r="K80" s="34">
        <v>0.17</v>
      </c>
      <c r="L80" s="34"/>
      <c r="M80" s="34"/>
    </row>
    <row r="81" spans="1:13" x14ac:dyDescent="0.25">
      <c r="A81" s="27">
        <v>73</v>
      </c>
      <c r="B81" s="28" t="s">
        <v>71</v>
      </c>
      <c r="C81" s="27" t="s">
        <v>138</v>
      </c>
      <c r="D81" s="29" t="s">
        <v>38</v>
      </c>
      <c r="E81" s="30">
        <v>46153</v>
      </c>
      <c r="F81" s="30"/>
      <c r="G81" s="30"/>
      <c r="H81" s="29" t="s">
        <v>27</v>
      </c>
      <c r="I81" s="31">
        <f t="shared" si="2"/>
        <v>0.42</v>
      </c>
      <c r="K81" s="34">
        <v>0.42</v>
      </c>
      <c r="L81" s="34"/>
      <c r="M81" s="34"/>
    </row>
    <row r="82" spans="1:13" x14ac:dyDescent="0.25">
      <c r="A82" s="27">
        <v>74</v>
      </c>
      <c r="B82" s="28" t="s">
        <v>71</v>
      </c>
      <c r="C82" s="27" t="s">
        <v>120</v>
      </c>
      <c r="D82" s="29" t="s">
        <v>38</v>
      </c>
      <c r="E82" s="30">
        <v>46153</v>
      </c>
      <c r="F82" s="30"/>
      <c r="G82" s="30"/>
      <c r="H82" s="29" t="s">
        <v>27</v>
      </c>
      <c r="I82" s="31">
        <f t="shared" si="2"/>
        <v>0.42</v>
      </c>
      <c r="K82" s="34">
        <v>0.42</v>
      </c>
      <c r="L82" s="34"/>
      <c r="M82" s="34"/>
    </row>
    <row r="83" spans="1:13" x14ac:dyDescent="0.25">
      <c r="A83" s="27">
        <v>75</v>
      </c>
      <c r="B83" s="28" t="s">
        <v>71</v>
      </c>
      <c r="C83" s="27" t="s">
        <v>121</v>
      </c>
      <c r="D83" s="29" t="s">
        <v>38</v>
      </c>
      <c r="E83" s="30">
        <v>46153</v>
      </c>
      <c r="F83" s="30"/>
      <c r="G83" s="30"/>
      <c r="H83" s="29" t="s">
        <v>27</v>
      </c>
      <c r="I83" s="31">
        <f t="shared" si="2"/>
        <v>0.88071428571428578</v>
      </c>
      <c r="J83" s="34"/>
      <c r="K83" s="34">
        <v>0.88071428571428578</v>
      </c>
      <c r="L83" s="34"/>
      <c r="M83" s="34"/>
    </row>
    <row r="84" spans="1:13" x14ac:dyDescent="0.25">
      <c r="A84" s="27">
        <v>76</v>
      </c>
      <c r="B84" s="28" t="s">
        <v>71</v>
      </c>
      <c r="C84" s="27" t="s">
        <v>122</v>
      </c>
      <c r="D84" s="29" t="s">
        <v>38</v>
      </c>
      <c r="E84" s="30">
        <v>46153</v>
      </c>
      <c r="F84" s="30"/>
      <c r="G84" s="30"/>
      <c r="H84" s="29" t="s">
        <v>27</v>
      </c>
      <c r="I84" s="31">
        <f t="shared" si="2"/>
        <v>0.63071428571428567</v>
      </c>
      <c r="J84" s="34"/>
      <c r="K84" s="34">
        <v>0.63071428571428567</v>
      </c>
      <c r="L84" s="34"/>
      <c r="M84" s="34"/>
    </row>
    <row r="85" spans="1:13" x14ac:dyDescent="0.25">
      <c r="A85" s="27">
        <v>77</v>
      </c>
      <c r="B85" s="28" t="s">
        <v>71</v>
      </c>
      <c r="C85" s="27" t="s">
        <v>115</v>
      </c>
      <c r="D85" s="29" t="s">
        <v>38</v>
      </c>
      <c r="E85" s="30">
        <v>46153</v>
      </c>
      <c r="F85" s="30"/>
      <c r="G85" s="30"/>
      <c r="H85" s="29" t="s">
        <v>27</v>
      </c>
      <c r="I85" s="31">
        <f t="shared" si="2"/>
        <v>0.42</v>
      </c>
      <c r="K85" s="34">
        <v>0.42</v>
      </c>
      <c r="L85" s="34"/>
      <c r="M85" s="34"/>
    </row>
    <row r="86" spans="1:13" x14ac:dyDescent="0.25">
      <c r="A86" s="27">
        <v>78</v>
      </c>
      <c r="B86" s="28" t="s">
        <v>71</v>
      </c>
      <c r="C86" s="27" t="s">
        <v>118</v>
      </c>
      <c r="D86" s="29" t="s">
        <v>38</v>
      </c>
      <c r="E86" s="30">
        <v>46153</v>
      </c>
      <c r="F86" s="30"/>
      <c r="G86" s="30"/>
      <c r="H86" s="29" t="s">
        <v>27</v>
      </c>
      <c r="I86" s="31">
        <f t="shared" si="2"/>
        <v>0.42</v>
      </c>
      <c r="K86" s="34">
        <v>0.42</v>
      </c>
      <c r="L86" s="34"/>
      <c r="M86" s="34"/>
    </row>
    <row r="87" spans="1:13" x14ac:dyDescent="0.25">
      <c r="A87" s="27">
        <v>79</v>
      </c>
      <c r="B87" s="28" t="s">
        <v>71</v>
      </c>
      <c r="C87" s="27" t="s">
        <v>142</v>
      </c>
      <c r="D87" s="29" t="s">
        <v>38</v>
      </c>
      <c r="E87" s="30">
        <v>46153</v>
      </c>
      <c r="F87" s="30"/>
      <c r="G87" s="30"/>
      <c r="H87" s="29" t="s">
        <v>27</v>
      </c>
      <c r="I87" s="31">
        <f t="shared" si="2"/>
        <v>0.42</v>
      </c>
      <c r="K87" s="34">
        <v>0.42</v>
      </c>
      <c r="L87" s="34"/>
      <c r="M87" s="34"/>
    </row>
    <row r="88" spans="1:13" x14ac:dyDescent="0.25">
      <c r="A88" s="27">
        <v>80</v>
      </c>
      <c r="B88" s="28" t="s">
        <v>71</v>
      </c>
      <c r="C88" s="27" t="s">
        <v>143</v>
      </c>
      <c r="D88" s="29" t="s">
        <v>38</v>
      </c>
      <c r="E88" s="30">
        <v>46153</v>
      </c>
      <c r="F88" s="30"/>
      <c r="G88" s="30"/>
      <c r="H88" s="29" t="s">
        <v>27</v>
      </c>
      <c r="I88" s="31">
        <f t="shared" si="2"/>
        <v>0.42</v>
      </c>
      <c r="K88" s="34">
        <v>0.42</v>
      </c>
      <c r="L88" s="34"/>
      <c r="M88" s="34"/>
    </row>
    <row r="89" spans="1:13" x14ac:dyDescent="0.25">
      <c r="A89" s="27">
        <v>81</v>
      </c>
      <c r="B89" s="28" t="s">
        <v>71</v>
      </c>
      <c r="C89" s="27" t="s">
        <v>123</v>
      </c>
      <c r="D89" s="29" t="s">
        <v>38</v>
      </c>
      <c r="E89" s="30">
        <v>46153</v>
      </c>
      <c r="F89" s="30"/>
      <c r="G89" s="30"/>
      <c r="H89" s="29" t="s">
        <v>27</v>
      </c>
      <c r="I89" s="31">
        <f t="shared" si="2"/>
        <v>1.380714285714286</v>
      </c>
      <c r="J89" s="34"/>
      <c r="K89" s="34">
        <v>1.380714285714286</v>
      </c>
      <c r="L89" s="34"/>
      <c r="M89" s="34"/>
    </row>
    <row r="90" spans="1:13" x14ac:dyDescent="0.25">
      <c r="A90" s="27">
        <v>82</v>
      </c>
      <c r="B90" s="28" t="s">
        <v>71</v>
      </c>
      <c r="C90" s="27" t="s">
        <v>142</v>
      </c>
      <c r="D90" s="29" t="s">
        <v>38</v>
      </c>
      <c r="E90" s="30">
        <v>46153</v>
      </c>
      <c r="F90" s="30"/>
      <c r="G90" s="30"/>
      <c r="H90" s="29" t="s">
        <v>27</v>
      </c>
      <c r="I90" s="31">
        <f t="shared" si="2"/>
        <v>0.82</v>
      </c>
      <c r="J90" s="34"/>
      <c r="K90" s="34">
        <v>0.82</v>
      </c>
      <c r="L90" s="34"/>
      <c r="M90" s="34"/>
    </row>
    <row r="91" spans="1:13" x14ac:dyDescent="0.25">
      <c r="A91" s="27">
        <v>83</v>
      </c>
      <c r="B91" s="28" t="s">
        <v>71</v>
      </c>
      <c r="C91" s="27" t="s">
        <v>110</v>
      </c>
      <c r="D91" s="29" t="s">
        <v>38</v>
      </c>
      <c r="E91" s="30">
        <v>46153</v>
      </c>
      <c r="F91" s="30"/>
      <c r="G91" s="30"/>
      <c r="H91" s="29" t="s">
        <v>27</v>
      </c>
      <c r="I91" s="31">
        <f t="shared" si="2"/>
        <v>0.42</v>
      </c>
      <c r="K91" s="34">
        <v>0.42</v>
      </c>
      <c r="L91" s="34"/>
      <c r="M91" s="34"/>
    </row>
    <row r="92" spans="1:13" x14ac:dyDescent="0.25">
      <c r="A92" s="27">
        <v>84</v>
      </c>
      <c r="B92" s="28" t="s">
        <v>71</v>
      </c>
      <c r="C92" s="27" t="s">
        <v>73</v>
      </c>
      <c r="D92" s="29" t="s">
        <v>38</v>
      </c>
      <c r="E92" s="30">
        <v>46153</v>
      </c>
      <c r="F92" s="30"/>
      <c r="G92" s="30"/>
      <c r="H92" s="29" t="s">
        <v>27</v>
      </c>
      <c r="I92" s="31">
        <f t="shared" si="2"/>
        <v>0.42</v>
      </c>
      <c r="K92" s="34">
        <v>0.42</v>
      </c>
      <c r="L92" s="34"/>
      <c r="M92" s="34"/>
    </row>
    <row r="93" spans="1:13" x14ac:dyDescent="0.25">
      <c r="A93" s="27">
        <v>85</v>
      </c>
      <c r="B93" s="28" t="s">
        <v>71</v>
      </c>
      <c r="C93" s="27" t="s">
        <v>117</v>
      </c>
      <c r="D93" s="29" t="s">
        <v>38</v>
      </c>
      <c r="E93" s="30">
        <v>46153</v>
      </c>
      <c r="F93" s="30"/>
      <c r="G93" s="30"/>
      <c r="H93" s="29" t="s">
        <v>27</v>
      </c>
      <c r="I93" s="31">
        <f t="shared" si="2"/>
        <v>0.67</v>
      </c>
      <c r="J93" s="34"/>
      <c r="K93" s="34">
        <v>0.67</v>
      </c>
      <c r="L93" s="34"/>
      <c r="M93" s="34"/>
    </row>
    <row r="94" spans="1:13" x14ac:dyDescent="0.25">
      <c r="A94" s="27">
        <v>86</v>
      </c>
      <c r="B94" s="28" t="s">
        <v>71</v>
      </c>
      <c r="C94" s="27" t="s">
        <v>111</v>
      </c>
      <c r="D94" s="29" t="s">
        <v>38</v>
      </c>
      <c r="E94" s="30">
        <v>46153</v>
      </c>
      <c r="F94" s="30"/>
      <c r="G94" s="30"/>
      <c r="H94" s="29" t="s">
        <v>27</v>
      </c>
      <c r="I94" s="31">
        <f t="shared" si="2"/>
        <v>0.67</v>
      </c>
      <c r="J94" s="34"/>
      <c r="K94" s="34">
        <v>0.67</v>
      </c>
      <c r="L94" s="34"/>
      <c r="M94" s="34"/>
    </row>
    <row r="95" spans="1:13" x14ac:dyDescent="0.25">
      <c r="A95" s="27">
        <v>87</v>
      </c>
      <c r="B95" s="28" t="s">
        <v>71</v>
      </c>
      <c r="C95" s="27" t="s">
        <v>124</v>
      </c>
      <c r="D95" s="29" t="s">
        <v>38</v>
      </c>
      <c r="E95" s="30">
        <v>46153</v>
      </c>
      <c r="F95" s="30"/>
      <c r="G95" s="30"/>
      <c r="H95" s="29" t="s">
        <v>27</v>
      </c>
      <c r="I95" s="31">
        <f t="shared" si="2"/>
        <v>1.42</v>
      </c>
      <c r="J95" s="34"/>
      <c r="K95" s="34">
        <v>1.42</v>
      </c>
      <c r="L95" s="34"/>
      <c r="M95" s="34"/>
    </row>
    <row r="96" spans="1:13" x14ac:dyDescent="0.25">
      <c r="A96" s="27">
        <v>88</v>
      </c>
      <c r="B96" s="28" t="s">
        <v>71</v>
      </c>
      <c r="C96" s="27" t="s">
        <v>75</v>
      </c>
      <c r="D96" s="29" t="s">
        <v>38</v>
      </c>
      <c r="E96" s="30">
        <v>46153</v>
      </c>
      <c r="F96" s="30"/>
      <c r="G96" s="30"/>
      <c r="H96" s="29" t="s">
        <v>27</v>
      </c>
      <c r="I96" s="31">
        <f t="shared" si="2"/>
        <v>0.82</v>
      </c>
      <c r="J96" s="34"/>
      <c r="K96" s="34">
        <v>0.82</v>
      </c>
      <c r="L96" s="34"/>
      <c r="M96" s="34"/>
    </row>
    <row r="97" spans="1:13" x14ac:dyDescent="0.25">
      <c r="A97" s="27">
        <v>89</v>
      </c>
      <c r="B97" s="28" t="s">
        <v>71</v>
      </c>
      <c r="C97" s="27" t="s">
        <v>125</v>
      </c>
      <c r="D97" s="29" t="s">
        <v>38</v>
      </c>
      <c r="E97" s="30">
        <v>46153</v>
      </c>
      <c r="F97" s="30"/>
      <c r="G97" s="30"/>
      <c r="H97" s="29" t="s">
        <v>27</v>
      </c>
      <c r="I97" s="31">
        <f t="shared" si="2"/>
        <v>0.82</v>
      </c>
      <c r="J97" s="34"/>
      <c r="K97" s="34">
        <v>0.82</v>
      </c>
      <c r="L97" s="34"/>
      <c r="M97" s="34"/>
    </row>
    <row r="98" spans="1:13" x14ac:dyDescent="0.25">
      <c r="A98" s="27">
        <v>90</v>
      </c>
      <c r="B98" s="28" t="s">
        <v>71</v>
      </c>
      <c r="C98" s="27" t="s">
        <v>144</v>
      </c>
      <c r="D98" s="29" t="s">
        <v>38</v>
      </c>
      <c r="E98" s="30">
        <v>46153</v>
      </c>
      <c r="F98" s="30"/>
      <c r="G98" s="30"/>
      <c r="H98" s="29" t="s">
        <v>27</v>
      </c>
      <c r="I98" s="31">
        <f t="shared" si="2"/>
        <v>0.82</v>
      </c>
      <c r="J98" s="34"/>
      <c r="K98" s="34">
        <v>0.82</v>
      </c>
      <c r="L98" s="34"/>
      <c r="M98" s="34"/>
    </row>
    <row r="99" spans="1:13" x14ac:dyDescent="0.25">
      <c r="A99" s="27">
        <v>91</v>
      </c>
      <c r="B99" s="28" t="s">
        <v>71</v>
      </c>
      <c r="C99" s="27" t="s">
        <v>141</v>
      </c>
      <c r="D99" s="29" t="s">
        <v>38</v>
      </c>
      <c r="E99" s="30">
        <v>46153</v>
      </c>
      <c r="F99" s="30"/>
      <c r="G99" s="30"/>
      <c r="H99" s="29" t="s">
        <v>27</v>
      </c>
      <c r="I99" s="31">
        <f t="shared" si="2"/>
        <v>0.82</v>
      </c>
      <c r="J99" s="34"/>
      <c r="K99" s="34">
        <v>0.82</v>
      </c>
      <c r="L99" s="34"/>
      <c r="M99" s="34"/>
    </row>
    <row r="100" spans="1:13" x14ac:dyDescent="0.25">
      <c r="A100" s="27">
        <v>92</v>
      </c>
      <c r="B100" s="28" t="s">
        <v>71</v>
      </c>
      <c r="C100" s="27" t="s">
        <v>126</v>
      </c>
      <c r="D100" s="29" t="s">
        <v>38</v>
      </c>
      <c r="E100" s="30">
        <v>46153</v>
      </c>
      <c r="F100" s="30"/>
      <c r="G100" s="30"/>
      <c r="H100" s="29" t="s">
        <v>27</v>
      </c>
      <c r="I100" s="31">
        <f t="shared" si="2"/>
        <v>0.67</v>
      </c>
      <c r="J100" s="34"/>
      <c r="K100" s="34">
        <v>0.67</v>
      </c>
      <c r="L100" s="34"/>
      <c r="M100" s="34"/>
    </row>
    <row r="101" spans="1:13" x14ac:dyDescent="0.25">
      <c r="A101" s="27">
        <v>93</v>
      </c>
      <c r="B101" s="28" t="s">
        <v>71</v>
      </c>
      <c r="C101" s="27" t="s">
        <v>72</v>
      </c>
      <c r="D101" s="29" t="s">
        <v>38</v>
      </c>
      <c r="E101" s="30">
        <v>46153</v>
      </c>
      <c r="F101" s="30"/>
      <c r="G101" s="30"/>
      <c r="H101" s="29" t="s">
        <v>27</v>
      </c>
      <c r="I101" s="31">
        <f t="shared" si="2"/>
        <v>0.42</v>
      </c>
      <c r="J101" s="34"/>
      <c r="K101" s="34">
        <v>0.42</v>
      </c>
      <c r="L101" s="34"/>
      <c r="M101" s="34"/>
    </row>
    <row r="102" spans="1:13" x14ac:dyDescent="0.25">
      <c r="A102" s="27">
        <v>94</v>
      </c>
      <c r="B102" s="28" t="s">
        <v>71</v>
      </c>
      <c r="C102" s="27" t="s">
        <v>140</v>
      </c>
      <c r="D102" s="29" t="s">
        <v>38</v>
      </c>
      <c r="E102" s="30">
        <v>46153</v>
      </c>
      <c r="F102" s="30"/>
      <c r="G102" s="30"/>
      <c r="H102" s="29" t="s">
        <v>27</v>
      </c>
      <c r="I102" s="31">
        <f t="shared" si="2"/>
        <v>0.82</v>
      </c>
      <c r="J102" s="34"/>
      <c r="K102" s="34">
        <v>0.82</v>
      </c>
      <c r="L102" s="34"/>
      <c r="M102" s="34"/>
    </row>
    <row r="103" spans="1:13" x14ac:dyDescent="0.25">
      <c r="A103" s="27">
        <v>95</v>
      </c>
      <c r="B103" s="28" t="s">
        <v>71</v>
      </c>
      <c r="C103" s="27" t="s">
        <v>143</v>
      </c>
      <c r="D103" s="29" t="s">
        <v>38</v>
      </c>
      <c r="E103" s="30">
        <v>46153</v>
      </c>
      <c r="F103" s="30"/>
      <c r="G103" s="30"/>
      <c r="H103" s="29" t="s">
        <v>27</v>
      </c>
      <c r="I103" s="31">
        <f t="shared" si="2"/>
        <v>0.82</v>
      </c>
      <c r="J103" s="34"/>
      <c r="K103" s="34">
        <v>0.82</v>
      </c>
      <c r="L103" s="34"/>
      <c r="M103" s="34"/>
    </row>
    <row r="104" spans="1:13" x14ac:dyDescent="0.25">
      <c r="A104" s="27">
        <v>96</v>
      </c>
      <c r="B104" s="28" t="s">
        <v>71</v>
      </c>
      <c r="C104" s="27" t="s">
        <v>18</v>
      </c>
      <c r="D104" s="29" t="s">
        <v>38</v>
      </c>
      <c r="E104" s="30">
        <v>46153</v>
      </c>
      <c r="F104" s="30"/>
      <c r="G104" s="30"/>
      <c r="H104" s="29" t="s">
        <v>27</v>
      </c>
      <c r="I104" s="31">
        <f t="shared" si="2"/>
        <v>4.83</v>
      </c>
      <c r="J104" s="34"/>
      <c r="K104" s="34">
        <v>4.83</v>
      </c>
      <c r="L104" s="34"/>
      <c r="M104" s="34"/>
    </row>
    <row r="105" spans="1:13" x14ac:dyDescent="0.25">
      <c r="A105" s="27">
        <v>97</v>
      </c>
      <c r="B105" s="28" t="s">
        <v>71</v>
      </c>
      <c r="C105" s="27"/>
      <c r="D105" s="29" t="s">
        <v>38</v>
      </c>
      <c r="E105" s="30"/>
      <c r="F105" s="30"/>
      <c r="G105" s="30"/>
      <c r="H105" s="29" t="s">
        <v>27</v>
      </c>
      <c r="I105" s="31">
        <f t="shared" ref="I105" si="3">SUM(J105:K105)</f>
        <v>0</v>
      </c>
      <c r="J105" s="34"/>
      <c r="K105" s="34"/>
      <c r="L105" s="34"/>
      <c r="M105" s="34"/>
    </row>
    <row r="106" spans="1:13" x14ac:dyDescent="0.25">
      <c r="D106" s="23"/>
      <c r="H106" s="23"/>
      <c r="I106" s="23"/>
    </row>
    <row r="107" spans="1:13" ht="15.75" thickBot="1" x14ac:dyDescent="0.3">
      <c r="A107" s="11" t="s">
        <v>16</v>
      </c>
      <c r="B107" s="8"/>
      <c r="C107" s="8"/>
      <c r="D107" s="8"/>
      <c r="E107" s="8"/>
      <c r="F107" s="8"/>
      <c r="G107" s="8"/>
      <c r="H107" s="8"/>
      <c r="I107" s="26">
        <f>SUM(I8:I106)</f>
        <v>70.055000000000007</v>
      </c>
      <c r="J107" s="13">
        <f>SUM(J8:J106)</f>
        <v>34.999999999999986</v>
      </c>
      <c r="K107" s="13">
        <f>SUM(K8:K106)</f>
        <v>35.055000000000021</v>
      </c>
    </row>
    <row r="108" spans="1:13" ht="15.75" thickTop="1" x14ac:dyDescent="0.25">
      <c r="I108" s="25"/>
      <c r="J108" s="12"/>
      <c r="K108" s="12"/>
    </row>
    <row r="109" spans="1:13" x14ac:dyDescent="0.25">
      <c r="A109" s="1" t="s">
        <v>17</v>
      </c>
      <c r="I109" s="25"/>
      <c r="J109" s="12"/>
      <c r="K109" s="12"/>
    </row>
    <row r="110" spans="1:13" x14ac:dyDescent="0.25">
      <c r="B110" t="s">
        <v>18</v>
      </c>
      <c r="I110" s="25">
        <f>SUM(J110:J110)</f>
        <v>5</v>
      </c>
      <c r="J110" s="12">
        <v>5</v>
      </c>
      <c r="K110" s="12">
        <v>5</v>
      </c>
    </row>
    <row r="111" spans="1:13" x14ac:dyDescent="0.25">
      <c r="B111" t="s">
        <v>19</v>
      </c>
      <c r="I111" s="25">
        <f>SUM(J111:J111)</f>
        <v>0</v>
      </c>
      <c r="J111" s="12"/>
      <c r="K111" s="12"/>
    </row>
    <row r="112" spans="1:13" x14ac:dyDescent="0.25">
      <c r="B112" t="s">
        <v>20</v>
      </c>
      <c r="I112" s="25">
        <f>SUM(J112:J112)</f>
        <v>0</v>
      </c>
      <c r="J112" s="12"/>
      <c r="K112" s="12"/>
    </row>
    <row r="113" spans="1:11" x14ac:dyDescent="0.25">
      <c r="B113" t="s">
        <v>21</v>
      </c>
      <c r="I113" s="25">
        <f>SUM(J113:J113)</f>
        <v>0</v>
      </c>
      <c r="J113" s="12"/>
      <c r="K113" s="12"/>
    </row>
    <row r="114" spans="1:11" x14ac:dyDescent="0.25">
      <c r="B114" t="s">
        <v>22</v>
      </c>
      <c r="I114" s="25"/>
      <c r="J114" s="12"/>
      <c r="K114" s="12"/>
    </row>
    <row r="115" spans="1:11" x14ac:dyDescent="0.25">
      <c r="I115" s="23"/>
    </row>
    <row r="116" spans="1:11" ht="15.75" thickBot="1" x14ac:dyDescent="0.3">
      <c r="A116" s="11" t="s">
        <v>23</v>
      </c>
      <c r="B116" s="8"/>
      <c r="C116" s="8"/>
      <c r="D116" s="8"/>
      <c r="E116" s="8"/>
      <c r="F116" s="8"/>
      <c r="G116" s="8"/>
      <c r="H116" s="8"/>
      <c r="I116" s="26">
        <f>SUM(I110:I115)</f>
        <v>5</v>
      </c>
      <c r="J116" s="13">
        <f t="shared" ref="J116" si="4">SUM(J110:J115)</f>
        <v>5</v>
      </c>
      <c r="K116" s="13">
        <f t="shared" ref="K116" si="5">SUM(K110:K115)</f>
        <v>5</v>
      </c>
    </row>
    <row r="117" spans="1:11" ht="15.75" thickTop="1" x14ac:dyDescent="0.25">
      <c r="I117" s="25"/>
      <c r="J117" s="12"/>
      <c r="K117" s="12"/>
    </row>
    <row r="118" spans="1:11" ht="15.75" thickBot="1" x14ac:dyDescent="0.3">
      <c r="A118" s="11" t="s">
        <v>24</v>
      </c>
      <c r="B118" s="8"/>
      <c r="C118" s="8"/>
      <c r="D118" s="8"/>
      <c r="E118" s="8"/>
      <c r="F118" s="8"/>
      <c r="G118" s="8"/>
      <c r="H118" s="8"/>
      <c r="I118" s="26">
        <f>+I116+I107</f>
        <v>75.055000000000007</v>
      </c>
      <c r="J118" s="13">
        <f t="shared" ref="J118" si="6">+J116+J107</f>
        <v>39.999999999999986</v>
      </c>
      <c r="K118" s="13">
        <f t="shared" ref="K118" si="7">+K116+K107</f>
        <v>40.055000000000021</v>
      </c>
    </row>
    <row r="119" spans="1:11" ht="15.75" thickTop="1" x14ac:dyDescent="0.25">
      <c r="I119" s="23"/>
    </row>
    <row r="120" spans="1:11" x14ac:dyDescent="0.25">
      <c r="I120" s="23"/>
    </row>
    <row r="121" spans="1:11" ht="15.75" thickBot="1" x14ac:dyDescent="0.3">
      <c r="A121" s="11" t="s">
        <v>25</v>
      </c>
      <c r="B121" s="8"/>
      <c r="C121" s="8"/>
      <c r="D121" s="8"/>
      <c r="E121" s="8"/>
      <c r="F121" s="8"/>
      <c r="G121" s="8"/>
      <c r="H121" s="8"/>
      <c r="I121" s="26"/>
      <c r="J121" s="13">
        <v>40</v>
      </c>
      <c r="K121" s="13">
        <v>40</v>
      </c>
    </row>
    <row r="122" spans="1:11" ht="16.5" thickTop="1" thickBot="1" x14ac:dyDescent="0.3">
      <c r="A122" s="11" t="s">
        <v>26</v>
      </c>
      <c r="B122" s="8"/>
      <c r="C122" s="8"/>
      <c r="D122" s="8"/>
      <c r="E122" s="8"/>
      <c r="F122" s="8"/>
      <c r="G122" s="8"/>
      <c r="H122" s="8"/>
      <c r="I122" s="26"/>
      <c r="J122" s="13">
        <f t="shared" ref="J122:K122" si="8">+J121-J118</f>
        <v>0</v>
      </c>
      <c r="K122" s="13">
        <f t="shared" si="8"/>
        <v>-5.5000000000021032E-2</v>
      </c>
    </row>
    <row r="123" spans="1:11" ht="15.75" thickTop="1" x14ac:dyDescent="0.25"/>
  </sheetData>
  <protectedRanges>
    <protectedRange sqref="A8:XFD8 G48:H105 A110:XFD115 B106:C106 G10:G47 H9:H47 E106:XFD106 J9:XFD105 A9:A106" name="Range1"/>
    <protectedRange sqref="C9 B9:B105" name="Range1_1"/>
    <protectedRange sqref="D9:D106" name="Range1_2"/>
    <protectedRange sqref="G9 E9:F105" name="Range1_3"/>
    <protectedRange sqref="I9:I105" name="Range1_4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74BA8BDB-53D6-49C3-ABCC-E46D7EAA39F8}">
          <x14:formula1>
            <xm:f>Status!$B$16:$B$23</xm:f>
          </x14:formula1>
          <xm:sqref>H9:H106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D9:D106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"/>
  <sheetViews>
    <sheetView workbookViewId="0">
      <selection activeCell="F1" sqref="F1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1" t="s">
        <v>36</v>
      </c>
      <c r="C2" s="21" t="s">
        <v>41</v>
      </c>
    </row>
    <row r="3" spans="2:3" x14ac:dyDescent="0.25">
      <c r="B3" s="18" t="s">
        <v>37</v>
      </c>
      <c r="C3" s="19" t="s">
        <v>42</v>
      </c>
    </row>
    <row r="4" spans="2:3" x14ac:dyDescent="0.25">
      <c r="B4" s="18" t="s">
        <v>43</v>
      </c>
      <c r="C4" s="19" t="s">
        <v>44</v>
      </c>
    </row>
    <row r="5" spans="2:3" x14ac:dyDescent="0.25">
      <c r="B5" s="18" t="s">
        <v>45</v>
      </c>
      <c r="C5" s="19" t="s">
        <v>46</v>
      </c>
    </row>
    <row r="6" spans="2:3" x14ac:dyDescent="0.25">
      <c r="B6" s="18" t="s">
        <v>38</v>
      </c>
      <c r="C6" s="19" t="s">
        <v>47</v>
      </c>
    </row>
    <row r="7" spans="2:3" x14ac:dyDescent="0.25">
      <c r="B7" s="18" t="s">
        <v>48</v>
      </c>
      <c r="C7" s="19" t="s">
        <v>49</v>
      </c>
    </row>
    <row r="8" spans="2:3" x14ac:dyDescent="0.25">
      <c r="B8" s="18" t="s">
        <v>39</v>
      </c>
      <c r="C8" s="19" t="s">
        <v>50</v>
      </c>
    </row>
    <row r="9" spans="2:3" x14ac:dyDescent="0.25">
      <c r="B9" s="18" t="s">
        <v>40</v>
      </c>
      <c r="C9" s="19" t="s">
        <v>51</v>
      </c>
    </row>
    <row r="10" spans="2:3" x14ac:dyDescent="0.25">
      <c r="B10" s="18" t="s">
        <v>69</v>
      </c>
      <c r="C10" s="19" t="s">
        <v>70</v>
      </c>
    </row>
    <row r="11" spans="2:3" x14ac:dyDescent="0.25">
      <c r="B11" s="18" t="s">
        <v>52</v>
      </c>
      <c r="C11" s="19" t="s">
        <v>53</v>
      </c>
    </row>
    <row r="15" spans="2:3" ht="16.5" x14ac:dyDescent="0.25">
      <c r="B15" s="21" t="s">
        <v>54</v>
      </c>
      <c r="C15" s="21" t="s">
        <v>41</v>
      </c>
    </row>
    <row r="16" spans="2:3" x14ac:dyDescent="0.25">
      <c r="B16" s="20" t="s">
        <v>27</v>
      </c>
      <c r="C16" s="19" t="s">
        <v>55</v>
      </c>
    </row>
    <row r="17" spans="2:3" x14ac:dyDescent="0.25">
      <c r="B17" s="20" t="s">
        <v>56</v>
      </c>
      <c r="C17" s="19" t="s">
        <v>57</v>
      </c>
    </row>
    <row r="18" spans="2:3" x14ac:dyDescent="0.25">
      <c r="B18" s="20" t="s">
        <v>35</v>
      </c>
      <c r="C18" s="19" t="s">
        <v>58</v>
      </c>
    </row>
    <row r="19" spans="2:3" x14ac:dyDescent="0.25">
      <c r="B19" s="20" t="s">
        <v>15</v>
      </c>
      <c r="C19" s="19" t="s">
        <v>59</v>
      </c>
    </row>
    <row r="20" spans="2:3" x14ac:dyDescent="0.25">
      <c r="B20" s="20" t="s">
        <v>28</v>
      </c>
      <c r="C20" s="19" t="s">
        <v>60</v>
      </c>
    </row>
    <row r="21" spans="2:3" x14ac:dyDescent="0.25">
      <c r="B21" s="20" t="s">
        <v>29</v>
      </c>
      <c r="C21" s="19" t="s">
        <v>61</v>
      </c>
    </row>
    <row r="22" spans="2:3" x14ac:dyDescent="0.25">
      <c r="B22" s="20" t="s">
        <v>62</v>
      </c>
      <c r="C22" s="19" t="s">
        <v>63</v>
      </c>
    </row>
    <row r="23" spans="2:3" x14ac:dyDescent="0.25">
      <c r="B23" s="20" t="s">
        <v>34</v>
      </c>
      <c r="C23" s="19" t="s">
        <v>64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18" sqref="A18"/>
    </sheetView>
  </sheetViews>
  <sheetFormatPr defaultRowHeight="15" x14ac:dyDescent="0.25"/>
  <cols>
    <col min="1" max="1" width="124.28515625" bestFit="1" customWidth="1"/>
  </cols>
  <sheetData>
    <row r="1" spans="1:1" s="15" customFormat="1" ht="16.5" thickBot="1" x14ac:dyDescent="0.3">
      <c r="A1" s="17" t="s">
        <v>30</v>
      </c>
    </row>
    <row r="2" spans="1:1" s="15" customFormat="1" ht="15.75" x14ac:dyDescent="0.25">
      <c r="A2" s="16"/>
    </row>
    <row r="3" spans="1:1" s="15" customFormat="1" ht="15.75" x14ac:dyDescent="0.25">
      <c r="A3" s="14" t="s">
        <v>67</v>
      </c>
    </row>
    <row r="4" spans="1:1" s="15" customFormat="1" ht="15.75" x14ac:dyDescent="0.25">
      <c r="A4" s="16"/>
    </row>
    <row r="5" spans="1:1" s="15" customFormat="1" ht="15.75" x14ac:dyDescent="0.25">
      <c r="A5" s="16"/>
    </row>
    <row r="6" spans="1:1" s="15" customFormat="1" ht="15.75" x14ac:dyDescent="0.25">
      <c r="A6" s="16"/>
    </row>
    <row r="7" spans="1:1" ht="15.75" x14ac:dyDescent="0.25">
      <c r="A7" s="14" t="s">
        <v>31</v>
      </c>
    </row>
    <row r="8" spans="1:1" ht="15.75" x14ac:dyDescent="0.25">
      <c r="A8" s="14" t="s">
        <v>68</v>
      </c>
    </row>
    <row r="9" spans="1:1" ht="15.75" x14ac:dyDescent="0.25">
      <c r="A9" s="14" t="s">
        <v>66</v>
      </c>
    </row>
    <row r="10" spans="1:1" ht="15.75" x14ac:dyDescent="0.25">
      <c r="A10" s="14" t="s">
        <v>32</v>
      </c>
    </row>
    <row r="11" spans="1:1" ht="15.75" x14ac:dyDescent="0.25">
      <c r="A11" s="14" t="s">
        <v>33</v>
      </c>
    </row>
    <row r="12" spans="1:1" ht="15.75" x14ac:dyDescent="0.25">
      <c r="A12" s="14" t="s">
        <v>65</v>
      </c>
    </row>
    <row r="14" spans="1:1" x14ac:dyDescent="0.25">
      <c r="A14" s="24"/>
    </row>
    <row r="15" spans="1:1" x14ac:dyDescent="0.25">
      <c r="A15" s="24"/>
    </row>
    <row r="16" spans="1:1" x14ac:dyDescent="0.25">
      <c r="A16" s="2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07104-D3ED-4DFD-9085-98CDC9A43980}">
  <dimension ref="A1:B31"/>
  <sheetViews>
    <sheetView workbookViewId="0">
      <selection sqref="A1:XFD1048576"/>
    </sheetView>
  </sheetViews>
  <sheetFormatPr defaultRowHeight="15" x14ac:dyDescent="0.25"/>
  <cols>
    <col min="1" max="1" width="6" bestFit="1" customWidth="1"/>
    <col min="2" max="2" width="39.85546875" bestFit="1" customWidth="1"/>
  </cols>
  <sheetData>
    <row r="1" spans="1:2" x14ac:dyDescent="0.25">
      <c r="A1" s="32" t="s">
        <v>80</v>
      </c>
      <c r="B1" s="32" t="s">
        <v>6</v>
      </c>
    </row>
    <row r="2" spans="1:2" x14ac:dyDescent="0.25">
      <c r="A2" s="32">
        <v>1</v>
      </c>
      <c r="B2" s="33" t="s">
        <v>81</v>
      </c>
    </row>
    <row r="3" spans="1:2" x14ac:dyDescent="0.25">
      <c r="A3" s="32">
        <v>2</v>
      </c>
      <c r="B3" s="33" t="s">
        <v>82</v>
      </c>
    </row>
    <row r="4" spans="1:2" x14ac:dyDescent="0.25">
      <c r="A4" s="32">
        <v>3</v>
      </c>
      <c r="B4" s="33" t="s">
        <v>83</v>
      </c>
    </row>
    <row r="5" spans="1:2" x14ac:dyDescent="0.25">
      <c r="A5" s="32">
        <v>4</v>
      </c>
      <c r="B5" s="33" t="s">
        <v>84</v>
      </c>
    </row>
    <row r="6" spans="1:2" x14ac:dyDescent="0.25">
      <c r="A6" s="32">
        <v>5</v>
      </c>
      <c r="B6" s="33" t="s">
        <v>85</v>
      </c>
    </row>
    <row r="7" spans="1:2" x14ac:dyDescent="0.25">
      <c r="A7" s="32">
        <v>6</v>
      </c>
      <c r="B7" s="33" t="s">
        <v>86</v>
      </c>
    </row>
    <row r="8" spans="1:2" x14ac:dyDescent="0.25">
      <c r="A8" s="32">
        <v>7</v>
      </c>
      <c r="B8" s="33" t="s">
        <v>87</v>
      </c>
    </row>
    <row r="9" spans="1:2" x14ac:dyDescent="0.25">
      <c r="A9" s="32">
        <v>8</v>
      </c>
      <c r="B9" s="33" t="s">
        <v>71</v>
      </c>
    </row>
    <row r="10" spans="1:2" x14ac:dyDescent="0.25">
      <c r="A10" s="32">
        <v>9</v>
      </c>
      <c r="B10" s="33" t="s">
        <v>88</v>
      </c>
    </row>
    <row r="11" spans="1:2" x14ac:dyDescent="0.25">
      <c r="A11" s="32">
        <v>10</v>
      </c>
      <c r="B11" s="33" t="s">
        <v>89</v>
      </c>
    </row>
    <row r="12" spans="1:2" x14ac:dyDescent="0.25">
      <c r="A12" s="32">
        <v>11</v>
      </c>
      <c r="B12" s="33" t="s">
        <v>90</v>
      </c>
    </row>
    <row r="13" spans="1:2" x14ac:dyDescent="0.25">
      <c r="A13" s="32">
        <v>12</v>
      </c>
      <c r="B13" s="33" t="s">
        <v>91</v>
      </c>
    </row>
    <row r="14" spans="1:2" x14ac:dyDescent="0.25">
      <c r="A14" s="32">
        <v>13</v>
      </c>
      <c r="B14" s="33" t="s">
        <v>92</v>
      </c>
    </row>
    <row r="15" spans="1:2" x14ac:dyDescent="0.25">
      <c r="A15" s="32">
        <v>14</v>
      </c>
      <c r="B15" s="33" t="s">
        <v>93</v>
      </c>
    </row>
    <row r="16" spans="1:2" x14ac:dyDescent="0.25">
      <c r="A16" s="32">
        <v>15</v>
      </c>
      <c r="B16" s="33" t="s">
        <v>94</v>
      </c>
    </row>
    <row r="17" spans="1:2" x14ac:dyDescent="0.25">
      <c r="A17" s="32">
        <v>16</v>
      </c>
      <c r="B17" s="33" t="s">
        <v>95</v>
      </c>
    </row>
    <row r="18" spans="1:2" x14ac:dyDescent="0.25">
      <c r="A18" s="32">
        <v>17</v>
      </c>
      <c r="B18" s="33" t="s">
        <v>96</v>
      </c>
    </row>
    <row r="19" spans="1:2" x14ac:dyDescent="0.25">
      <c r="A19" s="32">
        <v>18</v>
      </c>
      <c r="B19" s="33" t="s">
        <v>97</v>
      </c>
    </row>
    <row r="20" spans="1:2" x14ac:dyDescent="0.25">
      <c r="A20" s="32">
        <v>19</v>
      </c>
      <c r="B20" s="33" t="s">
        <v>98</v>
      </c>
    </row>
    <row r="21" spans="1:2" x14ac:dyDescent="0.25">
      <c r="A21" s="32">
        <v>20</v>
      </c>
      <c r="B21" s="33" t="s">
        <v>99</v>
      </c>
    </row>
    <row r="22" spans="1:2" x14ac:dyDescent="0.25">
      <c r="A22" s="32">
        <v>21</v>
      </c>
      <c r="B22" s="33" t="s">
        <v>100</v>
      </c>
    </row>
    <row r="23" spans="1:2" x14ac:dyDescent="0.25">
      <c r="A23" s="32">
        <v>22</v>
      </c>
      <c r="B23" s="33" t="s">
        <v>101</v>
      </c>
    </row>
    <row r="24" spans="1:2" x14ac:dyDescent="0.25">
      <c r="A24" s="32">
        <v>23</v>
      </c>
      <c r="B24" s="33" t="s">
        <v>102</v>
      </c>
    </row>
    <row r="25" spans="1:2" x14ac:dyDescent="0.25">
      <c r="A25" s="32">
        <v>24</v>
      </c>
      <c r="B25" s="33" t="s">
        <v>103</v>
      </c>
    </row>
    <row r="26" spans="1:2" x14ac:dyDescent="0.25">
      <c r="A26" s="32">
        <v>25</v>
      </c>
      <c r="B26" s="33" t="s">
        <v>104</v>
      </c>
    </row>
    <row r="27" spans="1:2" x14ac:dyDescent="0.25">
      <c r="A27" s="32">
        <v>26</v>
      </c>
      <c r="B27" s="33" t="s">
        <v>105</v>
      </c>
    </row>
    <row r="28" spans="1:2" x14ac:dyDescent="0.25">
      <c r="A28" s="32">
        <v>27</v>
      </c>
      <c r="B28" s="33" t="s">
        <v>106</v>
      </c>
    </row>
    <row r="29" spans="1:2" x14ac:dyDescent="0.25">
      <c r="A29" s="32">
        <v>28</v>
      </c>
      <c r="B29" s="33" t="s">
        <v>107</v>
      </c>
    </row>
    <row r="30" spans="1:2" x14ac:dyDescent="0.25">
      <c r="A30" s="32">
        <v>29</v>
      </c>
      <c r="B30" s="33" t="s">
        <v>108</v>
      </c>
    </row>
    <row r="31" spans="1:2" x14ac:dyDescent="0.25">
      <c r="A31" s="32">
        <v>30</v>
      </c>
      <c r="B31" s="33" t="s">
        <v>109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WIP</vt:lpstr>
      <vt:lpstr>Status</vt:lpstr>
      <vt:lpstr>Instruction</vt:lpstr>
      <vt:lpstr>Client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Umang Bagaria</cp:lastModifiedBy>
  <cp:revision/>
  <dcterms:created xsi:type="dcterms:W3CDTF">2015-06-05T18:17:20Z</dcterms:created>
  <dcterms:modified xsi:type="dcterms:W3CDTF">2026-05-02T16:59:43Z</dcterms:modified>
  <cp:category/>
  <cp:contentStatus/>
</cp:coreProperties>
</file>