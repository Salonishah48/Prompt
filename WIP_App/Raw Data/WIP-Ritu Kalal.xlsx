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ccounts WIP\Team Anant Suthar\"/>
    </mc:Choice>
  </mc:AlternateContent>
  <xr:revisionPtr revIDLastSave="0" documentId="13_ncr:1_{97BA849F-0DC0-4D4C-94B8-D5D0AE593400}" xr6:coauthVersionLast="47" xr6:coauthVersionMax="47" xr10:uidLastSave="{00000000-0000-0000-0000-000000000000}"/>
  <bookViews>
    <workbookView xWindow="-120" yWindow="-120" windowWidth="20730" windowHeight="11040" xr2:uid="{39FF4A03-EE37-454C-A675-FF4416F4C9C6}"/>
  </bookViews>
  <sheets>
    <sheet name="WIP" sheetId="3" r:id="rId1"/>
    <sheet name="Instruction" sheetId="4" r:id="rId2"/>
    <sheet name="Status" sheetId="6" r:id="rId3"/>
  </sheets>
  <definedNames>
    <definedName name="_xlnm._FilterDatabase" localSheetId="0" hidden="1">WIP!$A$7:$M$74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3" l="1"/>
  <c r="J88" i="3"/>
  <c r="I67" i="3"/>
  <c r="I68" i="3"/>
  <c r="I70" i="3"/>
  <c r="I71" i="3"/>
  <c r="I72" i="3"/>
  <c r="J74" i="3" l="1"/>
  <c r="J87" i="3" s="1"/>
  <c r="K74" i="3"/>
  <c r="K87" i="3" s="1"/>
  <c r="A71" i="3"/>
  <c r="A72" i="3" s="1"/>
  <c r="A70" i="3"/>
  <c r="K86" i="3"/>
  <c r="I85" i="3"/>
  <c r="I64" i="3"/>
  <c r="I65" i="3"/>
  <c r="I66" i="3"/>
  <c r="I57" i="3"/>
  <c r="I58" i="3"/>
  <c r="I59" i="3"/>
  <c r="I60" i="3"/>
  <c r="I61" i="3"/>
  <c r="I62" i="3"/>
  <c r="I63" i="3"/>
  <c r="L74" i="3"/>
  <c r="L87" i="3" s="1"/>
  <c r="M74" i="3"/>
  <c r="I56" i="3"/>
  <c r="I55" i="3"/>
  <c r="I54" i="3"/>
  <c r="I78" i="3"/>
  <c r="I79" i="3"/>
  <c r="I80" i="3"/>
  <c r="I81" i="3"/>
  <c r="I82" i="3"/>
  <c r="I83" i="3"/>
  <c r="I50" i="3"/>
  <c r="I51" i="3"/>
  <c r="I52" i="3"/>
  <c r="I53" i="3"/>
  <c r="I48" i="3"/>
  <c r="I49" i="3"/>
  <c r="I43" i="3"/>
  <c r="I44" i="3"/>
  <c r="I45" i="3"/>
  <c r="I46" i="3"/>
  <c r="I47" i="3"/>
  <c r="I42" i="3"/>
  <c r="A42" i="3"/>
  <c r="A43" i="3" s="1"/>
  <c r="A44" i="3" s="1"/>
  <c r="A45" i="3" s="1"/>
  <c r="A46" i="3" s="1"/>
  <c r="A47" i="3" s="1"/>
  <c r="A48" i="3" s="1"/>
  <c r="A49" i="3" s="1"/>
  <c r="I39" i="3"/>
  <c r="I40" i="3"/>
  <c r="I41" i="3"/>
  <c r="I38" i="3"/>
  <c r="I37" i="3"/>
  <c r="A51" i="3"/>
  <c r="A52" i="3" s="1"/>
  <c r="A53" i="3" s="1"/>
  <c r="A54" i="3" s="1"/>
  <c r="A55" i="3" s="1"/>
  <c r="A56" i="3" s="1"/>
  <c r="A78" i="3"/>
  <c r="A79" i="3" s="1"/>
  <c r="A80" i="3" s="1"/>
  <c r="A81" i="3" s="1"/>
  <c r="A82" i="3" s="1"/>
  <c r="A83" i="3" s="1"/>
  <c r="A84" i="3" s="1"/>
  <c r="I77" i="3"/>
  <c r="I36" i="3"/>
  <c r="I35" i="3"/>
  <c r="I34" i="3"/>
  <c r="I33" i="3"/>
  <c r="I32" i="3"/>
  <c r="E32" i="3"/>
  <c r="E33" i="3" s="1"/>
  <c r="E34" i="3" s="1"/>
  <c r="E35" i="3" s="1"/>
  <c r="A32" i="3"/>
  <c r="A33" i="3" s="1"/>
  <c r="A34" i="3" s="1"/>
  <c r="A35" i="3" s="1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A10" i="3"/>
  <c r="A11" i="3" s="1"/>
  <c r="A12" i="3" s="1"/>
  <c r="A13" i="3" s="1"/>
  <c r="I9" i="3"/>
  <c r="K6" i="3"/>
  <c r="L6" i="3" s="1"/>
  <c r="M6" i="3" s="1"/>
  <c r="I86" i="3" l="1"/>
  <c r="K88" i="3"/>
  <c r="K90" i="3" s="1"/>
  <c r="K94" i="3" s="1"/>
  <c r="J90" i="3"/>
  <c r="J94" i="3" s="1"/>
  <c r="I84" i="3"/>
  <c r="M87" i="3"/>
  <c r="L88" i="3"/>
  <c r="L90" i="3" s="1"/>
  <c r="L94" i="3" s="1"/>
  <c r="M88" i="3" l="1"/>
  <c r="M90" i="3" s="1"/>
  <c r="M94" i="3" s="1"/>
  <c r="I87" i="3"/>
  <c r="I88" i="3" s="1"/>
  <c r="I90" i="3" s="1"/>
</calcChain>
</file>

<file path=xl/sharedStrings.xml><?xml version="1.0" encoding="utf-8"?>
<sst xmlns="http://schemas.openxmlformats.org/spreadsheetml/2006/main" count="371" uniqueCount="133">
  <si>
    <t>Work in Progress Report</t>
  </si>
  <si>
    <t xml:space="preserve">Name: </t>
  </si>
  <si>
    <t>Ritu Kalal</t>
  </si>
  <si>
    <t>Title:</t>
  </si>
  <si>
    <t>Staff</t>
  </si>
  <si>
    <t>Manager Name:</t>
  </si>
  <si>
    <t>Anantkumar Suthar</t>
  </si>
  <si>
    <t>Week starting on --&gt;&gt;</t>
  </si>
  <si>
    <t>Sr #</t>
  </si>
  <si>
    <t>Client Name</t>
  </si>
  <si>
    <t>Project (sub-client)</t>
  </si>
  <si>
    <t>Work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</si>
  <si>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</si>
  <si>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</si>
  <si>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</si>
  <si>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</si>
  <si>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</si>
  <si>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</si>
  <si>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</si>
  <si>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</si>
  <si>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</si>
  <si>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</si>
  <si>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Advanced Accounting &amp; Tax Solutions</t>
  </si>
  <si>
    <t>Bookkeeping Management</t>
  </si>
  <si>
    <t>Completed</t>
  </si>
  <si>
    <t>Matthew Mann CPA PLLC</t>
  </si>
  <si>
    <t>Black Man Gas</t>
  </si>
  <si>
    <t>Sky View Maintenance</t>
  </si>
  <si>
    <t>Awaiting Documents / Information</t>
  </si>
  <si>
    <t>Custom Protective Coatings</t>
  </si>
  <si>
    <t>Vertical Management</t>
  </si>
  <si>
    <t>Conscious Accounting</t>
  </si>
  <si>
    <t>Benchmark Excavating, Inc.</t>
  </si>
  <si>
    <t>Payroll Management</t>
  </si>
  <si>
    <t>Simply Me Med Spa</t>
  </si>
  <si>
    <t>MG Legacy International LLC</t>
  </si>
  <si>
    <t>Clean-up / Catch‑up Project Management</t>
  </si>
  <si>
    <t>Provident Investment LLC</t>
  </si>
  <si>
    <t>Admin - General</t>
  </si>
  <si>
    <t>Client Meetings and Communication</t>
  </si>
  <si>
    <t>Rios Heating &amp; Cooling LLC</t>
  </si>
  <si>
    <t>Year-End / 13th Month Process Management</t>
  </si>
  <si>
    <t>JMGJ Group Inc</t>
  </si>
  <si>
    <t>In Preparation</t>
  </si>
  <si>
    <t>Grupo AMG LLC</t>
  </si>
  <si>
    <t>Sincon Corp</t>
  </si>
  <si>
    <t>SCSI Media Inc</t>
  </si>
  <si>
    <t>A&amp;E Flooring &amp; Carpet Sales Corp</t>
  </si>
  <si>
    <t>Keywest Auto Collision Center, Inc</t>
  </si>
  <si>
    <t>North star Land Care</t>
  </si>
  <si>
    <t>Jason M Hicks, PC</t>
  </si>
  <si>
    <t>Jacob Bolles Construction</t>
  </si>
  <si>
    <t>Total of Billable hours</t>
  </si>
  <si>
    <t>Non Billable hours</t>
  </si>
  <si>
    <t>Admin</t>
  </si>
  <si>
    <t>Timesheet updates + mail checking+Meeting</t>
  </si>
  <si>
    <t>Reading the Training Material for Shopify</t>
  </si>
  <si>
    <t>Timesheet updates + mail checking</t>
  </si>
  <si>
    <t>Casual Leave</t>
  </si>
  <si>
    <t>Reading the Training Material for Accounts Payable &amp; Accouts Receivable,sitting with Manav.</t>
  </si>
  <si>
    <t xml:space="preserve">Unassigned </t>
  </si>
  <si>
    <t>Total Hours</t>
  </si>
  <si>
    <t>Weekly hours to be completed</t>
  </si>
  <si>
    <t>Available hours</t>
  </si>
  <si>
    <t>Spot On CWP heating and air Inc</t>
  </si>
  <si>
    <t>Happy Camper Heating and air Inc</t>
  </si>
  <si>
    <t>Work Item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</si>
  <si>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</si>
  <si>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</si>
  <si>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</si>
  <si>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</si>
  <si>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</si>
  <si>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</si>
  <si>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</si>
  <si>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</si>
  <si>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</si>
  <si>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</si>
  <si>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Management</t>
  </si>
  <si>
    <t>Sales tax calculation and filing.</t>
  </si>
  <si>
    <t>Year-end finalization work, financial statement printing, and tax-to-book adjustments.</t>
  </si>
  <si>
    <t>Client Call, Internal Discussions, Client Emails, Document Upload, Workflow updates Etc.</t>
  </si>
  <si>
    <t>Account Status</t>
  </si>
  <si>
    <t>Not Started</t>
  </si>
  <si>
    <t>Work is assigned but no action has been taken yet.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</si>
  <si>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</si>
  <si>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</si>
  <si>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</si>
  <si>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Work is currently in progress.</t>
  </si>
  <si>
    <t>In Review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</si>
  <si>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</si>
  <si>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</si>
  <si>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</si>
  <si>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</si>
  <si>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</si>
  <si>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</si>
  <si>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Points to be considered while updating the tracker</t>
  </si>
  <si>
    <t>Weeks should start from column "J" - Don't change sequence.</t>
  </si>
  <si>
    <t>Always use Sr. no. when inputting data (If there is no data, don't write sr. no).</t>
  </si>
  <si>
    <t>Select work done from the drop-down list only - Don't write manually</t>
  </si>
  <si>
    <t>Don't leave any row blank in between (if require you can add a row in between)</t>
  </si>
  <si>
    <t>Don’t add or delete any column</t>
  </si>
  <si>
    <t>Training</t>
  </si>
  <si>
    <t>Leave</t>
  </si>
  <si>
    <t>Dream Digital LLC</t>
  </si>
  <si>
    <t>Taxcap Business Services Inc.</t>
  </si>
  <si>
    <t>Spring Value Cleaners</t>
  </si>
  <si>
    <t>Yum Diners % Route 66</t>
  </si>
  <si>
    <t>United Auto Body</t>
  </si>
  <si>
    <t>Maria's Bar &amp; Grill LLC</t>
  </si>
  <si>
    <t>Kady's LLC</t>
  </si>
  <si>
    <t>Radco(Kona) Ice LLC</t>
  </si>
  <si>
    <t>Hawley Orthodontic Laboratory Inc</t>
  </si>
  <si>
    <t>Cubishx5 Inc</t>
  </si>
  <si>
    <t>Casual Lving Murals Inc</t>
  </si>
  <si>
    <t>US Truck Sales Inc.</t>
  </si>
  <si>
    <t>Oaktree Family LLC</t>
  </si>
  <si>
    <t>Top Tier Golf Club LLC</t>
  </si>
  <si>
    <t>Innovative Psychological Solutions</t>
  </si>
  <si>
    <t>RM &amp; SA LLC</t>
  </si>
  <si>
    <t>Global Service Express Inc</t>
  </si>
  <si>
    <t>Provident Investments LLC</t>
  </si>
  <si>
    <t>The Ave</t>
  </si>
  <si>
    <t>Event</t>
  </si>
  <si>
    <t>Mline Trucking LLC</t>
  </si>
  <si>
    <t>Sanitation Process Control LLC</t>
  </si>
  <si>
    <t>Company Event</t>
  </si>
  <si>
    <t>VN Florida Homes LLC</t>
  </si>
  <si>
    <t>HHH Trust</t>
  </si>
  <si>
    <t>Predictable Management</t>
  </si>
  <si>
    <t>Huston homes investment LLC</t>
  </si>
  <si>
    <t>Rent Collection Task</t>
  </si>
  <si>
    <t>AirBNB Task</t>
  </si>
  <si>
    <t>Verbo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</si>
</sst>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Segoe UI"/>
      <family val="2"/>
    </font>
    <font>
      <sz val="11"/>
      <color rgb="FF000000"/>
      <name val="Calibri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43" fontId="8" fillId="0" borderId="0" applyFont="0" applyFill="0" applyBorder="0" applyAlignment="0" applyProtection="0"/>
  </cellStyleXfs>
  <cellXfs count="32">
    <xf numFmtId="0" fontId="0" fillId="0" borderId="0" xfId="0"/>
    <xf numFmtId="0" fontId="9" fillId="0" borderId="0" xfId="1" applyFont="1"/>
    <xf numFmtId="0" fontId="8" fillId="0" borderId="0" xfId="1"/>
    <xf numFmtId="0" fontId="10" fillId="0" borderId="0" xfId="1" applyFont="1"/>
    <xf numFmtId="43" fontId="9" fillId="0" borderId="0" xfId="2" applyFont="1"/>
    <xf numFmtId="0" fontId="8" fillId="0" borderId="0" xfId="1" applyAlignment="1">
      <alignment horizontal="right"/>
    </xf>
    <xf numFmtId="14" fontId="8" fillId="2" borderId="0" xfId="1" applyNumberFormat="1" applyFill="1"/>
    <xf numFmtId="14" fontId="8" fillId="0" borderId="0" xfId="1" applyNumberFormat="1"/>
    <xf numFmtId="0" fontId="11" fillId="0" borderId="0" xfId="1" applyFont="1"/>
    <xf numFmtId="0" fontId="9" fillId="3" borderId="0" xfId="1" applyFont="1" applyFill="1" applyAlignment="1">
      <alignment horizontal="center" vertical="center" wrapText="1"/>
    </xf>
    <xf numFmtId="0" fontId="9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wrapText="1"/>
    </xf>
    <xf numFmtId="43" fontId="0" fillId="0" borderId="0" xfId="2" applyFont="1"/>
    <xf numFmtId="0" fontId="9" fillId="4" borderId="0" xfId="1" applyFont="1" applyFill="1"/>
    <xf numFmtId="0" fontId="8" fillId="4" borderId="0" xfId="1" applyFill="1"/>
    <xf numFmtId="43" fontId="9" fillId="0" borderId="1" xfId="2" applyFont="1" applyBorder="1"/>
    <xf numFmtId="0" fontId="14" fillId="6" borderId="3" xfId="1" applyFont="1" applyFill="1" applyBorder="1" applyAlignment="1">
      <alignment vertical="center" wrapText="1"/>
    </xf>
    <xf numFmtId="0" fontId="8" fillId="0" borderId="0" xfId="1" applyAlignment="1">
      <alignment wrapText="1"/>
    </xf>
    <xf numFmtId="0" fontId="14" fillId="0" borderId="0" xfId="1" applyFont="1" applyAlignment="1">
      <alignment vertical="center" wrapText="1"/>
    </xf>
    <xf numFmtId="0" fontId="15" fillId="0" borderId="0" xfId="1" applyFont="1" applyAlignment="1">
      <alignment horizontal="left" vertical="center"/>
    </xf>
    <xf numFmtId="0" fontId="12" fillId="5" borderId="2" xfId="1" applyFont="1" applyFill="1" applyBorder="1" applyAlignment="1">
      <alignment horizontal="left" vertical="center" wrapText="1"/>
    </xf>
    <xf numFmtId="0" fontId="9" fillId="0" borderId="2" xfId="1" applyFont="1" applyBorder="1"/>
    <xf numFmtId="0" fontId="8" fillId="0" borderId="2" xfId="1" applyBorder="1"/>
    <xf numFmtId="0" fontId="13" fillId="0" borderId="2" xfId="1" applyFont="1" applyBorder="1"/>
    <xf numFmtId="0" fontId="9" fillId="0" borderId="2" xfId="1" applyFont="1" applyBorder="1" applyAlignment="1">
      <alignment horizontal="left"/>
    </xf>
    <xf numFmtId="0" fontId="7" fillId="0" borderId="0" xfId="1" applyFont="1"/>
    <xf numFmtId="0" fontId="6" fillId="0" borderId="0" xfId="1" applyFont="1"/>
    <xf numFmtId="0" fontId="5" fillId="0" borderId="0" xfId="1" applyFont="1"/>
    <xf numFmtId="0" fontId="4" fillId="0" borderId="0" xfId="1" applyFont="1"/>
    <xf numFmtId="0" fontId="3" fillId="0" borderId="0" xfId="1" applyFont="1"/>
    <xf numFmtId="0" fontId="2" fillId="0" borderId="0" xfId="1" applyFont="1"/>
    <xf numFmtId="14" fontId="1" fillId="0" borderId="0" xfId="1" applyNumberFormat="1" applyFont="1"/>
  </cellXfs>
  <cellStyles count="3">
    <cellStyle name="Comma 2" xfId="2" xr:uid="{7FFEA029-0E49-4BD6-B623-FA209BF800F5}"/>
    <cellStyle name="Normal" xfId="0" builtinId="0"/>
    <cellStyle name="Normal 2" xfId="1" xr:uid="{376E869E-AE12-4F40-92E8-EA03ACE18D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4AE0-AA72-4913-9BCD-9418DAAF05FF}">
  <dimension ref="A1:M95"/>
  <sheetViews>
    <sheetView tabSelected="1" zoomScale="85" zoomScaleNormal="85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K9" sqref="K9"/>
    </sheetView>
  </sheetViews>
  <sheetFormatPr defaultRowHeight="15" x14ac:dyDescent="0.25"/>
  <cols>
    <col min="1" max="1" width="23.7109375" style="2" customWidth="1"/>
    <col min="2" max="2" width="19.140625" style="2" bestFit="1" customWidth="1"/>
    <col min="3" max="3" width="25.140625" style="2" customWidth="1"/>
    <col min="4" max="4" width="31.85546875" style="2" customWidth="1"/>
    <col min="5" max="6" width="11.7109375" style="2" customWidth="1"/>
    <col min="7" max="7" width="13.140625" style="2" customWidth="1"/>
    <col min="8" max="8" width="17.5703125" style="2" customWidth="1"/>
    <col min="9" max="9" width="22.140625" style="2" bestFit="1" customWidth="1"/>
    <col min="10" max="10" width="16" style="2" bestFit="1" customWidth="1"/>
    <col min="11" max="12" width="16.42578125" style="2" bestFit="1" customWidth="1"/>
    <col min="13" max="13" width="13.28515625" style="2" customWidth="1"/>
    <col min="14" max="16384" width="9.140625" style="2"/>
  </cols>
  <sheetData>
    <row r="1" spans="1:13" x14ac:dyDescent="0.25">
      <c r="A1" s="1" t="s">
        <v>0</v>
      </c>
    </row>
    <row r="2" spans="1:13" x14ac:dyDescent="0.25">
      <c r="A2" s="1" t="s">
        <v>1</v>
      </c>
      <c r="B2" s="3" t="s">
        <v>2</v>
      </c>
      <c r="C2" s="3"/>
      <c r="H2" s="1"/>
      <c r="I2" s="1"/>
      <c r="J2" s="4"/>
      <c r="K2" s="4"/>
      <c r="L2" s="4"/>
      <c r="M2" s="4"/>
    </row>
    <row r="3" spans="1:13" x14ac:dyDescent="0.25">
      <c r="A3" s="1" t="s">
        <v>3</v>
      </c>
      <c r="B3" s="3" t="s">
        <v>4</v>
      </c>
      <c r="C3" s="3"/>
      <c r="H3" s="1"/>
      <c r="I3" s="1"/>
      <c r="J3" s="4"/>
      <c r="K3" s="4"/>
      <c r="L3" s="4"/>
      <c r="M3" s="4"/>
    </row>
    <row r="4" spans="1:13" x14ac:dyDescent="0.25">
      <c r="A4" s="1" t="s">
        <v>5</v>
      </c>
      <c r="B4" s="3" t="s">
        <v>6</v>
      </c>
      <c r="C4" s="3"/>
      <c r="H4" s="1"/>
      <c r="I4" s="1"/>
      <c r="J4" s="4"/>
      <c r="K4" s="4"/>
      <c r="L4" s="4"/>
      <c r="M4" s="4"/>
    </row>
    <row r="5" spans="1:13" x14ac:dyDescent="0.25">
      <c r="A5" s="1"/>
      <c r="B5" s="3"/>
      <c r="C5" s="3"/>
    </row>
    <row r="6" spans="1:13" x14ac:dyDescent="0.25">
      <c r="I6" s="5" t="s">
        <v>7</v>
      </c>
      <c r="J6" s="6">
        <v>46146</v>
      </c>
      <c r="K6" s="7">
        <f>J6+7</f>
        <v>46153</v>
      </c>
      <c r="L6" s="7">
        <f>K6+7</f>
        <v>46160</v>
      </c>
      <c r="M6" s="7">
        <f>L6+7</f>
        <v>46167</v>
      </c>
    </row>
    <row r="7" spans="1:13" ht="30" x14ac:dyDescent="0.25">
      <c r="A7" s="9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13</v>
      </c>
      <c r="G7" s="9" t="s">
        <v>14</v>
      </c>
      <c r="H7" s="9" t="s">
        <v>15</v>
      </c>
      <c r="I7" s="9" t="s">
        <v>16</v>
      </c>
      <c r="J7" s="9" t="s">
        <v>17</v>
      </c>
      <c r="K7" s="9" t="s">
        <v>18</v>
      </c>
      <c r="L7" s="9" t="s">
        <v>19</v>
      </c>
      <c r="M7" s="9" t="s">
        <v>20</v>
      </c>
    </row>
    <row r="8" spans="1:13" x14ac:dyDescent="0.25">
      <c r="A8" s="10" t="s">
        <v>21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 x14ac:dyDescent="0.25">
      <c r="A9" s="2">
        <v>1</v>
      </c>
      <c r="B9" s="2" t="s">
        <v>22</v>
      </c>
      <c r="C9" s="2" t="s">
        <v>65</v>
      </c>
      <c r="D9" s="2" t="s">
        <v>23</v>
      </c>
      <c r="E9" s="7">
        <v>46083</v>
      </c>
      <c r="F9" s="7"/>
      <c r="G9" s="7"/>
      <c r="H9" s="2" t="s">
        <v>24</v>
      </c>
      <c r="I9" s="12">
        <f t="shared" ref="I9:I72" si="0">SUM(J9:M9)</f>
        <v>0</v>
      </c>
      <c r="J9" s="12"/>
      <c r="K9" s="12">
        <v>0</v>
      </c>
      <c r="L9" s="12">
        <v>0</v>
      </c>
      <c r="M9" s="12">
        <v>0</v>
      </c>
    </row>
    <row r="10" spans="1:13" x14ac:dyDescent="0.25">
      <c r="A10" s="2">
        <f>A9+1</f>
        <v>2</v>
      </c>
      <c r="B10" s="2" t="s">
        <v>22</v>
      </c>
      <c r="C10" s="2" t="s">
        <v>64</v>
      </c>
      <c r="D10" s="2" t="s">
        <v>23</v>
      </c>
      <c r="E10" s="7">
        <v>46083</v>
      </c>
      <c r="F10" s="7"/>
      <c r="G10" s="7"/>
      <c r="H10" s="2" t="s">
        <v>24</v>
      </c>
      <c r="I10" s="12">
        <f t="shared" si="0"/>
        <v>0</v>
      </c>
      <c r="J10" s="12"/>
      <c r="K10" s="12"/>
      <c r="L10" s="12"/>
      <c r="M10" s="12"/>
    </row>
    <row r="11" spans="1:13" x14ac:dyDescent="0.25">
      <c r="A11" s="2">
        <f t="shared" ref="A11:A13" si="1">A10+1</f>
        <v>3</v>
      </c>
      <c r="B11" s="2" t="s">
        <v>25</v>
      </c>
      <c r="C11" s="2" t="s">
        <v>26</v>
      </c>
      <c r="D11" s="2" t="s">
        <v>23</v>
      </c>
      <c r="E11" s="7">
        <v>46083</v>
      </c>
      <c r="F11" s="7"/>
      <c r="G11" s="7"/>
      <c r="H11" s="2" t="s">
        <v>24</v>
      </c>
      <c r="I11" s="12">
        <f t="shared" si="0"/>
        <v>0</v>
      </c>
      <c r="J11" s="12"/>
      <c r="K11" s="12"/>
      <c r="L11" s="12"/>
      <c r="M11" s="12"/>
    </row>
    <row r="12" spans="1:13" x14ac:dyDescent="0.25">
      <c r="A12" s="2">
        <f t="shared" si="1"/>
        <v>4</v>
      </c>
      <c r="B12" s="2" t="s">
        <v>22</v>
      </c>
      <c r="C12" s="2" t="s">
        <v>27</v>
      </c>
      <c r="D12" s="2" t="s">
        <v>23</v>
      </c>
      <c r="E12" s="7">
        <v>46084</v>
      </c>
      <c r="F12" s="7"/>
      <c r="G12" s="7"/>
      <c r="H12" s="2" t="s">
        <v>24</v>
      </c>
      <c r="I12" s="12">
        <f t="shared" si="0"/>
        <v>0</v>
      </c>
      <c r="J12" s="12"/>
      <c r="K12" s="12"/>
      <c r="L12" s="12"/>
      <c r="M12" s="12"/>
    </row>
    <row r="13" spans="1:13" x14ac:dyDescent="0.25">
      <c r="A13" s="2">
        <f t="shared" si="1"/>
        <v>5</v>
      </c>
      <c r="B13" s="2" t="s">
        <v>22</v>
      </c>
      <c r="C13" s="2" t="s">
        <v>29</v>
      </c>
      <c r="D13" s="2" t="s">
        <v>23</v>
      </c>
      <c r="E13" s="7">
        <v>46084</v>
      </c>
      <c r="F13" s="7"/>
      <c r="G13" s="7"/>
      <c r="H13" s="2" t="s">
        <v>24</v>
      </c>
      <c r="I13" s="12">
        <f t="shared" si="0"/>
        <v>0</v>
      </c>
      <c r="J13" s="12"/>
      <c r="K13" s="12"/>
      <c r="L13" s="12"/>
      <c r="M13" s="12"/>
    </row>
    <row r="14" spans="1:13" x14ac:dyDescent="0.25">
      <c r="A14" s="2">
        <v>6</v>
      </c>
      <c r="B14" s="2" t="s">
        <v>25</v>
      </c>
      <c r="C14" s="2" t="s">
        <v>30</v>
      </c>
      <c r="D14" s="2" t="s">
        <v>23</v>
      </c>
      <c r="E14" s="7">
        <v>46087</v>
      </c>
      <c r="F14" s="7"/>
      <c r="G14" s="7"/>
      <c r="H14" s="2" t="s">
        <v>24</v>
      </c>
      <c r="I14" s="12">
        <f t="shared" si="0"/>
        <v>0</v>
      </c>
      <c r="J14" s="12"/>
      <c r="K14" s="12"/>
      <c r="L14" s="12"/>
      <c r="M14" s="12"/>
    </row>
    <row r="15" spans="1:13" x14ac:dyDescent="0.25">
      <c r="A15" s="2">
        <v>7</v>
      </c>
      <c r="B15" s="2" t="s">
        <v>22</v>
      </c>
      <c r="C15" s="2" t="s">
        <v>48</v>
      </c>
      <c r="D15" s="2" t="s">
        <v>23</v>
      </c>
      <c r="E15" s="7">
        <v>46087</v>
      </c>
      <c r="F15" s="7"/>
      <c r="G15" s="7"/>
      <c r="H15" s="2" t="s">
        <v>24</v>
      </c>
      <c r="I15" s="12">
        <f t="shared" si="0"/>
        <v>0</v>
      </c>
      <c r="J15" s="12"/>
      <c r="K15" s="12"/>
      <c r="L15" s="12"/>
      <c r="M15" s="12"/>
    </row>
    <row r="16" spans="1:13" x14ac:dyDescent="0.25">
      <c r="A16" s="2">
        <v>8</v>
      </c>
      <c r="B16" s="2" t="s">
        <v>31</v>
      </c>
      <c r="C16" s="2" t="s">
        <v>32</v>
      </c>
      <c r="D16" s="2" t="s">
        <v>33</v>
      </c>
      <c r="E16" s="7">
        <v>46090</v>
      </c>
      <c r="F16" s="7"/>
      <c r="G16" s="7"/>
      <c r="H16" s="2" t="s">
        <v>24</v>
      </c>
      <c r="I16" s="12">
        <f t="shared" si="0"/>
        <v>0</v>
      </c>
      <c r="K16" s="12"/>
      <c r="L16" s="12"/>
      <c r="M16" s="12"/>
    </row>
    <row r="17" spans="1:13" x14ac:dyDescent="0.25">
      <c r="A17" s="2">
        <v>9</v>
      </c>
      <c r="B17" s="2" t="s">
        <v>22</v>
      </c>
      <c r="C17" s="2" t="s">
        <v>34</v>
      </c>
      <c r="D17" s="2" t="s">
        <v>23</v>
      </c>
      <c r="E17" s="7">
        <v>46091</v>
      </c>
      <c r="F17" s="7"/>
      <c r="G17" s="7"/>
      <c r="H17" s="2" t="s">
        <v>24</v>
      </c>
      <c r="I17" s="12">
        <f t="shared" si="0"/>
        <v>0</v>
      </c>
      <c r="K17" s="12"/>
      <c r="L17" s="12"/>
      <c r="M17" s="12"/>
    </row>
    <row r="18" spans="1:13" x14ac:dyDescent="0.25">
      <c r="A18" s="2">
        <v>10</v>
      </c>
      <c r="B18" s="2" t="s">
        <v>22</v>
      </c>
      <c r="C18" s="2" t="s">
        <v>35</v>
      </c>
      <c r="D18" s="2" t="s">
        <v>36</v>
      </c>
      <c r="E18" s="7">
        <v>46091</v>
      </c>
      <c r="F18" s="7"/>
      <c r="G18" s="7"/>
      <c r="H18" s="2" t="s">
        <v>24</v>
      </c>
      <c r="I18" s="12">
        <f t="shared" si="0"/>
        <v>0</v>
      </c>
      <c r="K18" s="12"/>
      <c r="L18" s="12"/>
      <c r="M18" s="12"/>
    </row>
    <row r="19" spans="1:13" x14ac:dyDescent="0.25">
      <c r="A19" s="2">
        <v>11</v>
      </c>
      <c r="B19" s="2" t="s">
        <v>22</v>
      </c>
      <c r="C19" s="2" t="s">
        <v>37</v>
      </c>
      <c r="D19" s="2" t="s">
        <v>36</v>
      </c>
      <c r="E19" s="7">
        <v>46092</v>
      </c>
      <c r="F19" s="7"/>
      <c r="G19" s="7"/>
      <c r="H19" s="2" t="s">
        <v>24</v>
      </c>
      <c r="I19" s="12">
        <f t="shared" si="0"/>
        <v>0</v>
      </c>
      <c r="K19" s="12"/>
      <c r="L19" s="12"/>
      <c r="M19" s="12"/>
    </row>
    <row r="20" spans="1:13" x14ac:dyDescent="0.25">
      <c r="A20" s="2">
        <v>12</v>
      </c>
      <c r="B20" s="2" t="s">
        <v>22</v>
      </c>
      <c r="C20" s="2" t="s">
        <v>27</v>
      </c>
      <c r="D20" s="2" t="s">
        <v>23</v>
      </c>
      <c r="E20" s="7">
        <v>46093</v>
      </c>
      <c r="F20" s="7"/>
      <c r="G20" s="7"/>
      <c r="H20" s="2" t="s">
        <v>24</v>
      </c>
      <c r="I20" s="12">
        <f t="shared" si="0"/>
        <v>0</v>
      </c>
      <c r="K20" s="12"/>
      <c r="L20" s="12"/>
      <c r="M20" s="12"/>
    </row>
    <row r="21" spans="1:13" x14ac:dyDescent="0.25">
      <c r="A21" s="2">
        <v>13</v>
      </c>
      <c r="B21" s="2" t="s">
        <v>22</v>
      </c>
      <c r="C21" s="2" t="s">
        <v>38</v>
      </c>
      <c r="D21" s="2" t="s">
        <v>39</v>
      </c>
      <c r="E21" s="7">
        <v>46097</v>
      </c>
      <c r="F21" s="7"/>
      <c r="G21" s="7"/>
      <c r="H21" s="2" t="s">
        <v>24</v>
      </c>
      <c r="I21" s="12">
        <f t="shared" si="0"/>
        <v>0</v>
      </c>
      <c r="K21" s="12"/>
      <c r="L21" s="12"/>
      <c r="M21" s="12"/>
    </row>
    <row r="22" spans="1:13" x14ac:dyDescent="0.25">
      <c r="A22" s="2">
        <v>14</v>
      </c>
      <c r="B22" s="2" t="s">
        <v>22</v>
      </c>
      <c r="C22" s="2" t="s">
        <v>38</v>
      </c>
      <c r="D22" s="2" t="s">
        <v>39</v>
      </c>
      <c r="E22" s="7">
        <v>46097</v>
      </c>
      <c r="F22" s="7"/>
      <c r="G22" s="7"/>
      <c r="H22" s="2" t="s">
        <v>24</v>
      </c>
      <c r="I22" s="12">
        <f t="shared" si="0"/>
        <v>0</v>
      </c>
      <c r="K22" s="12"/>
      <c r="L22" s="12"/>
      <c r="M22" s="12"/>
    </row>
    <row r="23" spans="1:13" x14ac:dyDescent="0.25">
      <c r="A23" s="2">
        <v>15</v>
      </c>
      <c r="B23" s="2" t="s">
        <v>22</v>
      </c>
      <c r="C23" s="2" t="s">
        <v>40</v>
      </c>
      <c r="D23" s="2" t="s">
        <v>41</v>
      </c>
      <c r="E23" s="7">
        <v>46097</v>
      </c>
      <c r="F23" s="7"/>
      <c r="G23" s="7"/>
      <c r="H23" s="2" t="s">
        <v>24</v>
      </c>
      <c r="I23" s="12">
        <f t="shared" si="0"/>
        <v>0</v>
      </c>
      <c r="K23" s="12"/>
      <c r="L23" s="12"/>
      <c r="M23" s="12"/>
    </row>
    <row r="24" spans="1:13" x14ac:dyDescent="0.25">
      <c r="A24" s="2">
        <v>16</v>
      </c>
      <c r="B24" s="2" t="s">
        <v>22</v>
      </c>
      <c r="C24" s="2" t="s">
        <v>38</v>
      </c>
      <c r="D24" s="2" t="s">
        <v>39</v>
      </c>
      <c r="E24" s="7">
        <v>46098</v>
      </c>
      <c r="F24" s="7"/>
      <c r="G24" s="7"/>
      <c r="H24" s="2" t="s">
        <v>24</v>
      </c>
      <c r="I24" s="12">
        <f t="shared" si="0"/>
        <v>0</v>
      </c>
      <c r="K24" s="12"/>
      <c r="L24" s="12"/>
      <c r="M24" s="12"/>
    </row>
    <row r="25" spans="1:13" x14ac:dyDescent="0.25">
      <c r="A25" s="2">
        <v>17</v>
      </c>
      <c r="B25" s="2" t="s">
        <v>22</v>
      </c>
      <c r="C25" s="2" t="s">
        <v>42</v>
      </c>
      <c r="D25" s="2" t="s">
        <v>41</v>
      </c>
      <c r="E25" s="7">
        <v>46098</v>
      </c>
      <c r="F25" s="7"/>
      <c r="G25" s="7"/>
      <c r="H25" s="2" t="s">
        <v>24</v>
      </c>
      <c r="I25" s="12">
        <f t="shared" si="0"/>
        <v>0</v>
      </c>
      <c r="K25" s="12"/>
      <c r="L25" s="12"/>
      <c r="M25" s="12"/>
    </row>
    <row r="26" spans="1:13" x14ac:dyDescent="0.25">
      <c r="A26" s="2">
        <v>18</v>
      </c>
      <c r="B26" s="2" t="s">
        <v>22</v>
      </c>
      <c r="C26" s="2" t="s">
        <v>44</v>
      </c>
      <c r="D26" s="2" t="s">
        <v>41</v>
      </c>
      <c r="E26" s="7">
        <v>46098</v>
      </c>
      <c r="F26" s="7"/>
      <c r="G26" s="7"/>
      <c r="H26" s="2" t="s">
        <v>24</v>
      </c>
      <c r="I26" s="12">
        <f t="shared" si="0"/>
        <v>0</v>
      </c>
      <c r="K26" s="12"/>
      <c r="L26" s="12"/>
      <c r="M26" s="12"/>
    </row>
    <row r="27" spans="1:13" x14ac:dyDescent="0.25">
      <c r="A27" s="2">
        <v>19</v>
      </c>
      <c r="B27" s="2" t="s">
        <v>22</v>
      </c>
      <c r="C27" s="2" t="s">
        <v>40</v>
      </c>
      <c r="D27" s="2" t="s">
        <v>41</v>
      </c>
      <c r="E27" s="7">
        <v>46098</v>
      </c>
      <c r="F27" s="7"/>
      <c r="G27" s="7"/>
      <c r="H27" s="2" t="s">
        <v>24</v>
      </c>
      <c r="I27" s="12">
        <f t="shared" si="0"/>
        <v>0</v>
      </c>
      <c r="K27" s="12"/>
      <c r="L27" s="12"/>
      <c r="M27" s="12"/>
    </row>
    <row r="28" spans="1:13" x14ac:dyDescent="0.25">
      <c r="A28" s="2">
        <v>20</v>
      </c>
      <c r="B28" s="2" t="s">
        <v>22</v>
      </c>
      <c r="C28" s="2" t="s">
        <v>42</v>
      </c>
      <c r="D28" s="2" t="s">
        <v>41</v>
      </c>
      <c r="E28" s="7">
        <v>46099</v>
      </c>
      <c r="F28" s="7"/>
      <c r="G28" s="7"/>
      <c r="H28" s="2" t="s">
        <v>24</v>
      </c>
      <c r="I28" s="12">
        <f t="shared" si="0"/>
        <v>0</v>
      </c>
      <c r="K28" s="12"/>
      <c r="L28" s="12"/>
      <c r="M28" s="12"/>
    </row>
    <row r="29" spans="1:13" x14ac:dyDescent="0.25">
      <c r="A29" s="2">
        <v>21</v>
      </c>
      <c r="B29" s="2" t="s">
        <v>22</v>
      </c>
      <c r="C29" s="2" t="s">
        <v>44</v>
      </c>
      <c r="D29" s="2" t="s">
        <v>41</v>
      </c>
      <c r="E29" s="7">
        <v>46099</v>
      </c>
      <c r="F29" s="7"/>
      <c r="G29" s="7"/>
      <c r="H29" s="2" t="s">
        <v>24</v>
      </c>
      <c r="I29" s="12">
        <f t="shared" si="0"/>
        <v>0</v>
      </c>
      <c r="K29" s="12"/>
      <c r="L29" s="12"/>
      <c r="M29" s="12"/>
    </row>
    <row r="30" spans="1:13" x14ac:dyDescent="0.25">
      <c r="A30" s="2">
        <v>22</v>
      </c>
      <c r="B30" s="2" t="s">
        <v>22</v>
      </c>
      <c r="C30" s="2" t="s">
        <v>45</v>
      </c>
      <c r="D30" s="2" t="s">
        <v>41</v>
      </c>
      <c r="E30" s="7">
        <v>46099</v>
      </c>
      <c r="F30" s="7"/>
      <c r="G30" s="7"/>
      <c r="H30" s="2" t="s">
        <v>24</v>
      </c>
      <c r="I30" s="12">
        <f t="shared" si="0"/>
        <v>0</v>
      </c>
      <c r="K30" s="12"/>
      <c r="L30" s="12"/>
      <c r="M30" s="12"/>
    </row>
    <row r="31" spans="1:13" x14ac:dyDescent="0.25">
      <c r="A31" s="2">
        <v>23</v>
      </c>
      <c r="B31" s="2" t="s">
        <v>22</v>
      </c>
      <c r="C31" s="2" t="s">
        <v>46</v>
      </c>
      <c r="D31" s="2" t="s">
        <v>41</v>
      </c>
      <c r="E31" s="7">
        <v>46099</v>
      </c>
      <c r="F31" s="7"/>
      <c r="G31" s="7"/>
      <c r="H31" s="2" t="s">
        <v>24</v>
      </c>
      <c r="I31" s="12">
        <f t="shared" si="0"/>
        <v>0</v>
      </c>
      <c r="K31" s="12"/>
      <c r="L31" s="12"/>
      <c r="M31" s="12"/>
    </row>
    <row r="32" spans="1:13" x14ac:dyDescent="0.25">
      <c r="A32" s="2">
        <f>A31+1</f>
        <v>24</v>
      </c>
      <c r="B32" s="2" t="s">
        <v>22</v>
      </c>
      <c r="C32" s="2" t="s">
        <v>47</v>
      </c>
      <c r="D32" s="2" t="s">
        <v>41</v>
      </c>
      <c r="E32" s="7">
        <f>E31+1</f>
        <v>46100</v>
      </c>
      <c r="F32" s="7"/>
      <c r="G32" s="7"/>
      <c r="H32" s="2" t="s">
        <v>24</v>
      </c>
      <c r="I32" s="12">
        <f t="shared" si="0"/>
        <v>0</v>
      </c>
      <c r="K32" s="12"/>
      <c r="L32" s="12"/>
      <c r="M32" s="12"/>
    </row>
    <row r="33" spans="1:13" x14ac:dyDescent="0.25">
      <c r="A33" s="2">
        <f t="shared" ref="A33:A35" si="2">A32+1</f>
        <v>25</v>
      </c>
      <c r="B33" s="2" t="s">
        <v>22</v>
      </c>
      <c r="C33" s="2" t="s">
        <v>48</v>
      </c>
      <c r="D33" s="2" t="s">
        <v>41</v>
      </c>
      <c r="E33" s="7">
        <f>E32</f>
        <v>46100</v>
      </c>
      <c r="F33" s="7"/>
      <c r="G33" s="7"/>
      <c r="H33" s="2" t="s">
        <v>24</v>
      </c>
      <c r="I33" s="12">
        <f t="shared" si="0"/>
        <v>0</v>
      </c>
      <c r="K33" s="12"/>
      <c r="L33" s="12"/>
      <c r="M33" s="12"/>
    </row>
    <row r="34" spans="1:13" x14ac:dyDescent="0.25">
      <c r="A34" s="2">
        <f t="shared" si="2"/>
        <v>26</v>
      </c>
      <c r="B34" s="2" t="s">
        <v>22</v>
      </c>
      <c r="C34" s="2" t="s">
        <v>49</v>
      </c>
      <c r="D34" s="2" t="s">
        <v>36</v>
      </c>
      <c r="E34" s="7">
        <f>E33</f>
        <v>46100</v>
      </c>
      <c r="F34" s="7"/>
      <c r="G34" s="7"/>
      <c r="H34" s="2" t="s">
        <v>24</v>
      </c>
      <c r="I34" s="12">
        <f t="shared" si="0"/>
        <v>0</v>
      </c>
      <c r="K34" s="12"/>
      <c r="L34" s="12"/>
      <c r="M34" s="12"/>
    </row>
    <row r="35" spans="1:13" x14ac:dyDescent="0.25">
      <c r="A35" s="2">
        <f t="shared" si="2"/>
        <v>27</v>
      </c>
      <c r="B35" s="2" t="s">
        <v>25</v>
      </c>
      <c r="C35" s="2" t="s">
        <v>50</v>
      </c>
      <c r="D35" s="2" t="s">
        <v>36</v>
      </c>
      <c r="E35" s="7">
        <f>E34</f>
        <v>46100</v>
      </c>
      <c r="F35" s="7"/>
      <c r="G35" s="7"/>
      <c r="H35" s="2" t="s">
        <v>24</v>
      </c>
      <c r="I35" s="12">
        <f t="shared" si="0"/>
        <v>0</v>
      </c>
      <c r="K35" s="12"/>
      <c r="L35" s="12"/>
      <c r="M35" s="12"/>
    </row>
    <row r="36" spans="1:13" x14ac:dyDescent="0.25">
      <c r="A36" s="2">
        <v>28</v>
      </c>
      <c r="B36" s="2" t="s">
        <v>25</v>
      </c>
      <c r="C36" s="2" t="s">
        <v>51</v>
      </c>
      <c r="D36" s="2" t="s">
        <v>36</v>
      </c>
      <c r="E36" s="7">
        <v>46101</v>
      </c>
      <c r="F36" s="7"/>
      <c r="G36" s="7"/>
      <c r="H36" s="2" t="s">
        <v>24</v>
      </c>
      <c r="I36" s="12">
        <f t="shared" si="0"/>
        <v>0</v>
      </c>
      <c r="K36" s="12"/>
      <c r="L36" s="12"/>
      <c r="M36" s="12"/>
    </row>
    <row r="37" spans="1:13" x14ac:dyDescent="0.25">
      <c r="A37" s="2">
        <v>29</v>
      </c>
      <c r="B37" s="2" t="s">
        <v>22</v>
      </c>
      <c r="C37" s="2" t="s">
        <v>38</v>
      </c>
      <c r="D37" s="2" t="s">
        <v>39</v>
      </c>
      <c r="E37" s="7">
        <v>46101</v>
      </c>
      <c r="F37" s="7"/>
      <c r="G37" s="7"/>
      <c r="H37" s="2" t="s">
        <v>24</v>
      </c>
      <c r="I37" s="12">
        <f t="shared" si="0"/>
        <v>0</v>
      </c>
      <c r="K37" s="12"/>
      <c r="L37" s="12"/>
      <c r="M37" s="12"/>
    </row>
    <row r="38" spans="1:13" x14ac:dyDescent="0.25">
      <c r="A38" s="2">
        <v>30</v>
      </c>
      <c r="B38" s="2" t="s">
        <v>22</v>
      </c>
      <c r="C38" s="2" t="s">
        <v>38</v>
      </c>
      <c r="D38" s="2" t="s">
        <v>39</v>
      </c>
      <c r="E38" s="7">
        <v>46104</v>
      </c>
      <c r="F38" s="7"/>
      <c r="G38" s="7"/>
      <c r="H38" s="2" t="s">
        <v>24</v>
      </c>
      <c r="I38" s="12">
        <f t="shared" si="0"/>
        <v>0</v>
      </c>
      <c r="K38" s="12"/>
      <c r="M38" s="12"/>
    </row>
    <row r="39" spans="1:13" x14ac:dyDescent="0.25">
      <c r="A39" s="2">
        <v>31</v>
      </c>
      <c r="B39" s="2" t="s">
        <v>22</v>
      </c>
      <c r="C39" s="2" t="s">
        <v>103</v>
      </c>
      <c r="D39" s="2" t="s">
        <v>41</v>
      </c>
      <c r="E39" s="7">
        <v>46104</v>
      </c>
      <c r="F39" s="7"/>
      <c r="G39" s="7"/>
      <c r="H39" s="2" t="s">
        <v>24</v>
      </c>
      <c r="I39" s="12">
        <f t="shared" si="0"/>
        <v>0</v>
      </c>
      <c r="K39" s="12"/>
      <c r="L39" s="12"/>
      <c r="M39" s="12"/>
    </row>
    <row r="40" spans="1:13" x14ac:dyDescent="0.25">
      <c r="A40" s="2">
        <v>32</v>
      </c>
      <c r="B40" t="s">
        <v>104</v>
      </c>
      <c r="C40" s="2" t="s">
        <v>105</v>
      </c>
      <c r="D40" s="2" t="s">
        <v>23</v>
      </c>
      <c r="E40" s="7">
        <v>46104</v>
      </c>
      <c r="F40" s="7"/>
      <c r="G40" s="7"/>
      <c r="H40" s="2" t="s">
        <v>24</v>
      </c>
      <c r="I40" s="12">
        <f t="shared" si="0"/>
        <v>0</v>
      </c>
      <c r="K40" s="12"/>
      <c r="L40" s="12"/>
      <c r="M40" s="12"/>
    </row>
    <row r="41" spans="1:13" x14ac:dyDescent="0.25">
      <c r="A41" s="2">
        <v>33</v>
      </c>
      <c r="B41" t="s">
        <v>104</v>
      </c>
      <c r="C41" s="2" t="s">
        <v>106</v>
      </c>
      <c r="D41" s="2" t="s">
        <v>23</v>
      </c>
      <c r="E41" s="7">
        <v>46104</v>
      </c>
      <c r="F41" s="7"/>
      <c r="G41" s="7"/>
      <c r="H41" s="2" t="s">
        <v>24</v>
      </c>
      <c r="I41" s="12">
        <f t="shared" si="0"/>
        <v>0</v>
      </c>
      <c r="K41" s="12"/>
      <c r="L41" s="12"/>
      <c r="M41" s="12"/>
    </row>
    <row r="42" spans="1:13" x14ac:dyDescent="0.25">
      <c r="A42" s="2">
        <f>A41+1</f>
        <v>34</v>
      </c>
      <c r="B42" t="s">
        <v>104</v>
      </c>
      <c r="C42" s="2" t="s">
        <v>107</v>
      </c>
      <c r="D42" s="2" t="s">
        <v>23</v>
      </c>
      <c r="E42" s="7">
        <v>46104</v>
      </c>
      <c r="F42" s="7"/>
      <c r="G42" s="7"/>
      <c r="H42" s="2" t="s">
        <v>24</v>
      </c>
      <c r="I42" s="12">
        <f t="shared" si="0"/>
        <v>0</v>
      </c>
      <c r="K42" s="12"/>
      <c r="L42" s="12"/>
      <c r="M42" s="12"/>
    </row>
    <row r="43" spans="1:13" x14ac:dyDescent="0.25">
      <c r="A43" s="2">
        <f t="shared" ref="A43:A56" si="3">A42+1</f>
        <v>35</v>
      </c>
      <c r="B43" t="s">
        <v>22</v>
      </c>
      <c r="C43" s="2" t="s">
        <v>38</v>
      </c>
      <c r="D43" s="2" t="s">
        <v>39</v>
      </c>
      <c r="E43" s="7">
        <v>46106</v>
      </c>
      <c r="F43" s="7"/>
      <c r="G43" s="7"/>
      <c r="H43" s="2" t="s">
        <v>24</v>
      </c>
      <c r="I43" s="12">
        <f t="shared" si="0"/>
        <v>0</v>
      </c>
      <c r="K43" s="12"/>
      <c r="L43" s="12"/>
      <c r="M43" s="12"/>
    </row>
    <row r="44" spans="1:13" x14ac:dyDescent="0.25">
      <c r="A44" s="2">
        <f t="shared" si="3"/>
        <v>36</v>
      </c>
      <c r="B44" t="s">
        <v>22</v>
      </c>
      <c r="C44" s="2" t="s">
        <v>46</v>
      </c>
      <c r="D44" s="2" t="s">
        <v>23</v>
      </c>
      <c r="E44" s="7">
        <v>46106</v>
      </c>
      <c r="F44" s="7"/>
      <c r="G44" s="7"/>
      <c r="H44" s="2" t="s">
        <v>24</v>
      </c>
      <c r="I44" s="12">
        <f t="shared" si="0"/>
        <v>0</v>
      </c>
      <c r="K44" s="12"/>
      <c r="L44" s="12"/>
      <c r="M44" s="12"/>
    </row>
    <row r="45" spans="1:13" x14ac:dyDescent="0.25">
      <c r="A45" s="2">
        <f t="shared" si="3"/>
        <v>37</v>
      </c>
      <c r="B45" t="s">
        <v>22</v>
      </c>
      <c r="C45" s="2" t="s">
        <v>108</v>
      </c>
      <c r="D45" s="2" t="s">
        <v>36</v>
      </c>
      <c r="E45" s="7">
        <v>46106</v>
      </c>
      <c r="F45" s="7"/>
      <c r="G45" s="7"/>
      <c r="H45" s="2" t="s">
        <v>24</v>
      </c>
      <c r="I45" s="12">
        <f t="shared" si="0"/>
        <v>0</v>
      </c>
      <c r="K45" s="12"/>
      <c r="L45" s="12"/>
      <c r="M45" s="12"/>
    </row>
    <row r="46" spans="1:13" x14ac:dyDescent="0.25">
      <c r="A46" s="2">
        <f t="shared" si="3"/>
        <v>38</v>
      </c>
      <c r="B46" t="s">
        <v>22</v>
      </c>
      <c r="C46" s="2" t="s">
        <v>109</v>
      </c>
      <c r="D46" s="2" t="s">
        <v>36</v>
      </c>
      <c r="E46" s="7">
        <v>46106</v>
      </c>
      <c r="F46" s="7"/>
      <c r="G46" s="7"/>
      <c r="H46" s="2" t="s">
        <v>24</v>
      </c>
      <c r="I46" s="12">
        <f t="shared" si="0"/>
        <v>0</v>
      </c>
      <c r="K46" s="12"/>
      <c r="L46" s="12"/>
      <c r="M46" s="12"/>
    </row>
    <row r="47" spans="1:13" x14ac:dyDescent="0.25">
      <c r="A47" s="2">
        <f t="shared" si="3"/>
        <v>39</v>
      </c>
      <c r="B47" t="s">
        <v>22</v>
      </c>
      <c r="C47" s="2" t="s">
        <v>109</v>
      </c>
      <c r="D47" s="2" t="s">
        <v>36</v>
      </c>
      <c r="E47" s="7">
        <v>46107</v>
      </c>
      <c r="F47" s="7"/>
      <c r="G47" s="7"/>
      <c r="H47" s="2" t="s">
        <v>24</v>
      </c>
      <c r="I47" s="12">
        <f t="shared" si="0"/>
        <v>0</v>
      </c>
      <c r="K47" s="12"/>
      <c r="L47" s="12"/>
      <c r="M47" s="12"/>
    </row>
    <row r="48" spans="1:13" x14ac:dyDescent="0.25">
      <c r="A48" s="2">
        <f t="shared" si="3"/>
        <v>40</v>
      </c>
      <c r="B48" t="s">
        <v>22</v>
      </c>
      <c r="C48" s="2" t="s">
        <v>108</v>
      </c>
      <c r="D48" s="2" t="s">
        <v>36</v>
      </c>
      <c r="E48" s="7">
        <v>46107</v>
      </c>
      <c r="F48" s="7"/>
      <c r="G48" s="7"/>
      <c r="H48" s="2" t="s">
        <v>24</v>
      </c>
      <c r="I48" s="12">
        <f t="shared" si="0"/>
        <v>0</v>
      </c>
      <c r="K48" s="12"/>
      <c r="L48" s="12"/>
      <c r="M48" s="12"/>
    </row>
    <row r="49" spans="1:13" x14ac:dyDescent="0.25">
      <c r="A49" s="2">
        <f t="shared" si="3"/>
        <v>41</v>
      </c>
      <c r="B49" t="s">
        <v>22</v>
      </c>
      <c r="C49" s="2" t="s">
        <v>47</v>
      </c>
      <c r="D49" s="2" t="s">
        <v>23</v>
      </c>
      <c r="E49" s="7">
        <v>46111</v>
      </c>
      <c r="F49" s="7"/>
      <c r="G49" s="7"/>
      <c r="H49" s="2" t="s">
        <v>24</v>
      </c>
      <c r="I49" s="12">
        <f t="shared" si="0"/>
        <v>0</v>
      </c>
      <c r="K49" s="12"/>
      <c r="L49" s="12"/>
      <c r="M49" s="12"/>
    </row>
    <row r="50" spans="1:13" x14ac:dyDescent="0.25">
      <c r="A50" s="2">
        <v>42</v>
      </c>
      <c r="B50" t="s">
        <v>22</v>
      </c>
      <c r="C50" s="2" t="s">
        <v>110</v>
      </c>
      <c r="D50" s="2" t="s">
        <v>23</v>
      </c>
      <c r="E50" s="7">
        <v>46111</v>
      </c>
      <c r="F50" s="7"/>
      <c r="G50" s="7"/>
      <c r="H50" s="2" t="s">
        <v>24</v>
      </c>
      <c r="I50" s="12">
        <f>SUM(J50:M50)</f>
        <v>0</v>
      </c>
      <c r="L50" s="12"/>
      <c r="M50" s="12"/>
    </row>
    <row r="51" spans="1:13" x14ac:dyDescent="0.25">
      <c r="A51" s="2">
        <f t="shared" si="3"/>
        <v>43</v>
      </c>
      <c r="B51" t="s">
        <v>22</v>
      </c>
      <c r="C51" s="2" t="s">
        <v>111</v>
      </c>
      <c r="D51" s="2" t="s">
        <v>23</v>
      </c>
      <c r="E51" s="7">
        <v>46111</v>
      </c>
      <c r="F51" s="7"/>
      <c r="G51" s="7"/>
      <c r="H51" s="2" t="s">
        <v>24</v>
      </c>
      <c r="I51" s="12">
        <f>SUM(J51:M51)</f>
        <v>0</v>
      </c>
      <c r="L51" s="12"/>
      <c r="M51" s="12"/>
    </row>
    <row r="52" spans="1:13" x14ac:dyDescent="0.25">
      <c r="A52" s="2">
        <f t="shared" si="3"/>
        <v>44</v>
      </c>
      <c r="B52" t="s">
        <v>22</v>
      </c>
      <c r="C52" s="25" t="s">
        <v>112</v>
      </c>
      <c r="D52" s="2" t="s">
        <v>23</v>
      </c>
      <c r="E52" s="7">
        <v>46118</v>
      </c>
      <c r="F52" s="7"/>
      <c r="G52" s="7"/>
      <c r="H52" s="2" t="s">
        <v>24</v>
      </c>
      <c r="I52" s="12">
        <f>SUM(J52:M52)</f>
        <v>0</v>
      </c>
      <c r="L52" s="12"/>
      <c r="M52" s="12"/>
    </row>
    <row r="53" spans="1:13" x14ac:dyDescent="0.25">
      <c r="A53" s="2">
        <f t="shared" si="3"/>
        <v>45</v>
      </c>
      <c r="B53" t="s">
        <v>22</v>
      </c>
      <c r="C53" s="25" t="s">
        <v>29</v>
      </c>
      <c r="D53" s="2" t="s">
        <v>23</v>
      </c>
      <c r="E53" s="7">
        <v>46118</v>
      </c>
      <c r="F53" s="7"/>
      <c r="G53" s="7"/>
      <c r="H53" s="2" t="s">
        <v>24</v>
      </c>
      <c r="I53" s="12">
        <f t="shared" si="0"/>
        <v>0</v>
      </c>
      <c r="K53" s="12"/>
      <c r="L53" s="12"/>
      <c r="M53" s="12"/>
    </row>
    <row r="54" spans="1:13" x14ac:dyDescent="0.25">
      <c r="A54" s="2">
        <f t="shared" si="3"/>
        <v>46</v>
      </c>
      <c r="B54" t="s">
        <v>22</v>
      </c>
      <c r="C54" s="25" t="s">
        <v>113</v>
      </c>
      <c r="D54" s="2" t="s">
        <v>23</v>
      </c>
      <c r="E54" s="7">
        <v>46118</v>
      </c>
      <c r="F54" s="7"/>
      <c r="G54" s="7"/>
      <c r="H54" s="2" t="s">
        <v>24</v>
      </c>
      <c r="I54" s="12">
        <f t="shared" si="0"/>
        <v>0</v>
      </c>
      <c r="K54" s="12"/>
      <c r="L54" s="12"/>
      <c r="M54" s="12"/>
    </row>
    <row r="55" spans="1:13" x14ac:dyDescent="0.25">
      <c r="A55" s="2">
        <f t="shared" si="3"/>
        <v>47</v>
      </c>
      <c r="B55" t="s">
        <v>22</v>
      </c>
      <c r="C55" s="25" t="s">
        <v>65</v>
      </c>
      <c r="D55" s="2" t="s">
        <v>33</v>
      </c>
      <c r="E55" s="7">
        <v>46118</v>
      </c>
      <c r="F55" s="7"/>
      <c r="G55" s="7"/>
      <c r="H55" s="2" t="s">
        <v>24</v>
      </c>
      <c r="I55" s="12">
        <f t="shared" si="0"/>
        <v>0</v>
      </c>
      <c r="K55" s="12"/>
      <c r="L55" s="12"/>
      <c r="M55" s="12"/>
    </row>
    <row r="56" spans="1:13" x14ac:dyDescent="0.25">
      <c r="A56" s="2">
        <f t="shared" si="3"/>
        <v>48</v>
      </c>
      <c r="B56" t="s">
        <v>22</v>
      </c>
      <c r="C56" s="25" t="s">
        <v>114</v>
      </c>
      <c r="D56" s="2" t="s">
        <v>23</v>
      </c>
      <c r="E56" s="7">
        <v>46118</v>
      </c>
      <c r="F56" s="7"/>
      <c r="G56" s="7"/>
      <c r="H56" s="2" t="s">
        <v>24</v>
      </c>
      <c r="I56" s="12">
        <f t="shared" si="0"/>
        <v>0</v>
      </c>
      <c r="K56" s="12"/>
      <c r="L56" s="12"/>
      <c r="M56" s="12"/>
    </row>
    <row r="57" spans="1:13" x14ac:dyDescent="0.25">
      <c r="A57" s="2">
        <v>49</v>
      </c>
      <c r="B57" t="s">
        <v>22</v>
      </c>
      <c r="C57" s="25" t="s">
        <v>115</v>
      </c>
      <c r="D57" s="2" t="s">
        <v>23</v>
      </c>
      <c r="E57" s="7">
        <v>46125</v>
      </c>
      <c r="F57" s="7"/>
      <c r="G57" s="7"/>
      <c r="H57" s="2" t="s">
        <v>24</v>
      </c>
      <c r="I57" s="12">
        <f t="shared" si="0"/>
        <v>0</v>
      </c>
      <c r="K57" s="12"/>
      <c r="L57" s="12"/>
      <c r="M57" s="12"/>
    </row>
    <row r="58" spans="1:13" x14ac:dyDescent="0.25">
      <c r="A58" s="2">
        <v>50</v>
      </c>
      <c r="B58" t="s">
        <v>22</v>
      </c>
      <c r="C58" s="25" t="s">
        <v>116</v>
      </c>
      <c r="D58" s="2" t="s">
        <v>23</v>
      </c>
      <c r="E58" s="7">
        <v>46125</v>
      </c>
      <c r="F58" s="7"/>
      <c r="G58" s="7"/>
      <c r="H58" s="2" t="s">
        <v>24</v>
      </c>
      <c r="I58" s="12">
        <f t="shared" si="0"/>
        <v>0</v>
      </c>
      <c r="K58" s="12"/>
      <c r="L58" s="12"/>
      <c r="M58" s="12"/>
    </row>
    <row r="59" spans="1:13" x14ac:dyDescent="0.25">
      <c r="A59" s="2">
        <v>51</v>
      </c>
      <c r="B59" t="s">
        <v>22</v>
      </c>
      <c r="C59" s="25" t="s">
        <v>117</v>
      </c>
      <c r="D59" s="2" t="s">
        <v>23</v>
      </c>
      <c r="E59" s="7">
        <v>46125</v>
      </c>
      <c r="F59" s="7"/>
      <c r="G59" s="7"/>
      <c r="H59" s="2" t="s">
        <v>24</v>
      </c>
      <c r="I59" s="12">
        <f t="shared" si="0"/>
        <v>0</v>
      </c>
      <c r="K59" s="12"/>
      <c r="L59" s="12"/>
      <c r="M59" s="12"/>
    </row>
    <row r="60" spans="1:13" x14ac:dyDescent="0.25">
      <c r="A60" s="2">
        <v>52</v>
      </c>
      <c r="B60" t="s">
        <v>22</v>
      </c>
      <c r="C60" s="25" t="s">
        <v>118</v>
      </c>
      <c r="D60" s="2" t="s">
        <v>23</v>
      </c>
      <c r="E60" s="7">
        <v>46125</v>
      </c>
      <c r="F60" s="7"/>
      <c r="G60" s="7"/>
      <c r="H60" s="2" t="s">
        <v>24</v>
      </c>
      <c r="I60" s="12">
        <f t="shared" si="0"/>
        <v>0</v>
      </c>
      <c r="K60" s="12"/>
      <c r="L60" s="12"/>
      <c r="M60" s="12"/>
    </row>
    <row r="61" spans="1:13" x14ac:dyDescent="0.25">
      <c r="A61" s="2">
        <v>53</v>
      </c>
      <c r="B61" t="s">
        <v>22</v>
      </c>
      <c r="C61" s="26" t="s">
        <v>119</v>
      </c>
      <c r="D61" s="2" t="s">
        <v>23</v>
      </c>
      <c r="E61" s="7">
        <v>46125</v>
      </c>
      <c r="F61" s="7"/>
      <c r="G61" s="7"/>
      <c r="H61" s="2" t="s">
        <v>24</v>
      </c>
      <c r="I61" s="12">
        <f t="shared" si="0"/>
        <v>0</v>
      </c>
      <c r="K61" s="12"/>
      <c r="L61" s="12"/>
      <c r="M61" s="12"/>
    </row>
    <row r="62" spans="1:13" x14ac:dyDescent="0.25">
      <c r="A62" s="2">
        <v>54</v>
      </c>
      <c r="B62" t="s">
        <v>22</v>
      </c>
      <c r="C62" s="25" t="s">
        <v>120</v>
      </c>
      <c r="D62" s="2" t="s">
        <v>23</v>
      </c>
      <c r="E62" s="7">
        <v>46125</v>
      </c>
      <c r="F62" s="7"/>
      <c r="G62" s="7"/>
      <c r="H62" s="2" t="s">
        <v>24</v>
      </c>
      <c r="I62" s="12">
        <f t="shared" si="0"/>
        <v>0</v>
      </c>
      <c r="K62" s="12"/>
      <c r="L62" s="12"/>
      <c r="M62" s="12"/>
    </row>
    <row r="63" spans="1:13" x14ac:dyDescent="0.25">
      <c r="A63" s="2">
        <v>55</v>
      </c>
      <c r="B63" t="s">
        <v>22</v>
      </c>
      <c r="C63" s="25" t="s">
        <v>121</v>
      </c>
      <c r="D63" s="2" t="s">
        <v>23</v>
      </c>
      <c r="E63" s="7">
        <v>46125</v>
      </c>
      <c r="F63" s="7"/>
      <c r="G63" s="7"/>
      <c r="H63" s="2" t="s">
        <v>24</v>
      </c>
      <c r="I63" s="12">
        <f t="shared" si="0"/>
        <v>0</v>
      </c>
      <c r="K63" s="12"/>
      <c r="L63" s="12"/>
      <c r="M63" s="12"/>
    </row>
    <row r="64" spans="1:13" x14ac:dyDescent="0.25">
      <c r="A64" s="2">
        <v>56</v>
      </c>
      <c r="B64" t="s">
        <v>22</v>
      </c>
      <c r="C64" s="27" t="s">
        <v>123</v>
      </c>
      <c r="D64" s="2" t="s">
        <v>23</v>
      </c>
      <c r="E64" s="7">
        <v>46132</v>
      </c>
      <c r="F64" s="7"/>
      <c r="G64" s="7"/>
      <c r="H64" s="2" t="s">
        <v>24</v>
      </c>
      <c r="I64" s="12">
        <f t="shared" si="0"/>
        <v>0</v>
      </c>
      <c r="K64" s="12"/>
      <c r="L64" s="12"/>
      <c r="M64" s="12"/>
    </row>
    <row r="65" spans="1:13" x14ac:dyDescent="0.25">
      <c r="A65" s="2">
        <v>57</v>
      </c>
      <c r="B65" t="s">
        <v>22</v>
      </c>
      <c r="C65" s="27" t="s">
        <v>118</v>
      </c>
      <c r="D65" s="2" t="s">
        <v>23</v>
      </c>
      <c r="E65" s="7">
        <v>46132</v>
      </c>
      <c r="F65" s="7"/>
      <c r="G65" s="7"/>
      <c r="H65" s="2" t="s">
        <v>24</v>
      </c>
      <c r="I65" s="12">
        <f t="shared" si="0"/>
        <v>0</v>
      </c>
      <c r="K65" s="12"/>
      <c r="L65" s="12"/>
      <c r="M65" s="12"/>
    </row>
    <row r="66" spans="1:13" x14ac:dyDescent="0.25">
      <c r="A66" s="2">
        <v>58</v>
      </c>
      <c r="B66" t="s">
        <v>22</v>
      </c>
      <c r="C66" s="27" t="s">
        <v>124</v>
      </c>
      <c r="D66" s="2" t="s">
        <v>23</v>
      </c>
      <c r="E66" s="7">
        <v>46132</v>
      </c>
      <c r="F66" s="7"/>
      <c r="G66" s="7"/>
      <c r="H66" s="2" t="s">
        <v>24</v>
      </c>
      <c r="I66" s="12">
        <f t="shared" si="0"/>
        <v>0</v>
      </c>
      <c r="K66" s="12"/>
      <c r="L66" s="12"/>
      <c r="M66" s="12"/>
    </row>
    <row r="67" spans="1:13" x14ac:dyDescent="0.25">
      <c r="A67" s="2">
        <v>59</v>
      </c>
      <c r="B67" t="s">
        <v>126</v>
      </c>
      <c r="C67" s="29" t="s">
        <v>127</v>
      </c>
      <c r="D67" s="2" t="s">
        <v>23</v>
      </c>
      <c r="E67" s="31">
        <v>46146</v>
      </c>
      <c r="F67" s="7"/>
      <c r="G67" s="7"/>
      <c r="H67" s="2" t="s">
        <v>82</v>
      </c>
      <c r="I67" s="12">
        <f t="shared" si="0"/>
        <v>3</v>
      </c>
      <c r="J67" s="12">
        <v>1.5</v>
      </c>
      <c r="K67" s="12">
        <v>1.5</v>
      </c>
      <c r="L67" s="12"/>
      <c r="M67" s="12"/>
    </row>
    <row r="68" spans="1:13" x14ac:dyDescent="0.25">
      <c r="A68" s="2">
        <v>60</v>
      </c>
      <c r="B68" t="s">
        <v>126</v>
      </c>
      <c r="C68" s="29" t="s">
        <v>128</v>
      </c>
      <c r="D68" s="2" t="s">
        <v>23</v>
      </c>
      <c r="E68" s="31">
        <v>46146</v>
      </c>
      <c r="F68" s="7"/>
      <c r="G68" s="7"/>
      <c r="H68" s="2" t="s">
        <v>82</v>
      </c>
      <c r="I68" s="12">
        <f t="shared" si="0"/>
        <v>3</v>
      </c>
      <c r="J68" s="12">
        <v>1.5</v>
      </c>
      <c r="K68" s="12">
        <v>1.5</v>
      </c>
      <c r="L68" s="12"/>
      <c r="M68" s="12"/>
    </row>
    <row r="69" spans="1:13" x14ac:dyDescent="0.25">
      <c r="A69" s="2">
        <v>61</v>
      </c>
      <c r="B69" t="s">
        <v>126</v>
      </c>
      <c r="C69" s="29" t="s">
        <v>129</v>
      </c>
      <c r="D69" s="2" t="s">
        <v>23</v>
      </c>
      <c r="E69" s="31">
        <v>46146</v>
      </c>
      <c r="F69" s="7"/>
      <c r="G69" s="7"/>
      <c r="H69" s="2" t="s">
        <v>82</v>
      </c>
      <c r="I69" s="12">
        <v>1</v>
      </c>
      <c r="J69" s="12">
        <v>0.5</v>
      </c>
      <c r="K69" s="12">
        <v>0.5</v>
      </c>
      <c r="L69" s="12"/>
      <c r="M69" s="12"/>
    </row>
    <row r="70" spans="1:13" x14ac:dyDescent="0.25">
      <c r="A70" s="2">
        <f>A69+1</f>
        <v>62</v>
      </c>
      <c r="B70" t="s">
        <v>126</v>
      </c>
      <c r="C70" t="s">
        <v>130</v>
      </c>
      <c r="D70" s="2" t="s">
        <v>23</v>
      </c>
      <c r="E70" s="31">
        <v>46146</v>
      </c>
      <c r="F70" s="7"/>
      <c r="G70" s="7"/>
      <c r="H70" s="2" t="s">
        <v>82</v>
      </c>
      <c r="I70" s="12">
        <f t="shared" si="0"/>
        <v>2</v>
      </c>
      <c r="J70" s="12">
        <v>1</v>
      </c>
      <c r="K70" s="12">
        <v>1</v>
      </c>
      <c r="L70" s="12"/>
      <c r="M70" s="12"/>
    </row>
    <row r="71" spans="1:13" x14ac:dyDescent="0.25">
      <c r="A71" s="2">
        <f t="shared" ref="A71:A72" si="4">A70+1</f>
        <v>63</v>
      </c>
      <c r="B71" t="s">
        <v>126</v>
      </c>
      <c r="C71" s="30" t="s">
        <v>131</v>
      </c>
      <c r="D71" s="2" t="s">
        <v>23</v>
      </c>
      <c r="E71" s="31">
        <v>46146</v>
      </c>
      <c r="F71" s="7"/>
      <c r="G71" s="7"/>
      <c r="H71" s="2" t="s">
        <v>82</v>
      </c>
      <c r="I71" s="12">
        <f t="shared" si="0"/>
        <v>2</v>
      </c>
      <c r="J71" s="12">
        <v>1</v>
      </c>
      <c r="K71" s="12">
        <v>1</v>
      </c>
      <c r="L71" s="12"/>
      <c r="M71" s="12"/>
    </row>
    <row r="72" spans="1:13" x14ac:dyDescent="0.25">
      <c r="A72" s="2">
        <f t="shared" si="4"/>
        <v>64</v>
      </c>
      <c r="B72" t="s">
        <v>126</v>
      </c>
      <c r="C72" s="30" t="s">
        <v>132</v>
      </c>
      <c r="D72" s="2" t="s">
        <v>23</v>
      </c>
      <c r="E72" s="31">
        <v>46146</v>
      </c>
      <c r="F72" s="7"/>
      <c r="G72" s="7"/>
      <c r="H72" s="2" t="s">
        <v>82</v>
      </c>
      <c r="I72" s="12">
        <f t="shared" si="0"/>
        <v>2</v>
      </c>
      <c r="J72" s="12">
        <v>1</v>
      </c>
      <c r="K72" s="12">
        <v>1</v>
      </c>
      <c r="L72" s="12"/>
      <c r="M72" s="12"/>
    </row>
    <row r="73" spans="1:13" x14ac:dyDescent="0.25">
      <c r="B73"/>
      <c r="C73" s="29"/>
      <c r="E73" s="7"/>
      <c r="F73" s="7"/>
      <c r="G73" s="7"/>
      <c r="I73" s="12"/>
      <c r="K73" s="12"/>
      <c r="L73" s="12"/>
      <c r="M73" s="12"/>
    </row>
    <row r="74" spans="1:13" ht="15.75" thickBot="1" x14ac:dyDescent="0.3">
      <c r="A74" s="13" t="s">
        <v>52</v>
      </c>
      <c r="B74" s="14"/>
      <c r="C74" s="14"/>
      <c r="D74" s="14"/>
      <c r="E74" s="14"/>
      <c r="F74" s="14"/>
      <c r="G74" s="14"/>
      <c r="H74" s="14"/>
      <c r="I74" s="15">
        <f>SUM(I9:I72)</f>
        <v>13</v>
      </c>
      <c r="J74" s="15">
        <f>SUM(J67:J72)</f>
        <v>6.5</v>
      </c>
      <c r="K74" s="15">
        <f>SUM(K67:K72)</f>
        <v>6.5</v>
      </c>
      <c r="L74" s="15">
        <f>SUM(L49:L65)</f>
        <v>0</v>
      </c>
      <c r="M74" s="15">
        <f>SUM(M49:M65)</f>
        <v>0</v>
      </c>
    </row>
    <row r="75" spans="1:13" ht="15.75" thickTop="1" x14ac:dyDescent="0.25">
      <c r="I75" s="12"/>
      <c r="J75" s="12"/>
      <c r="K75" s="12"/>
      <c r="L75" s="12"/>
      <c r="M75" s="12"/>
    </row>
    <row r="76" spans="1:13" x14ac:dyDescent="0.25">
      <c r="A76" s="1" t="s">
        <v>53</v>
      </c>
      <c r="I76" s="12"/>
      <c r="J76" s="12"/>
      <c r="K76" s="12"/>
      <c r="L76" s="12"/>
      <c r="M76" s="12"/>
    </row>
    <row r="77" spans="1:13" x14ac:dyDescent="0.25">
      <c r="A77" s="2">
        <v>1</v>
      </c>
      <c r="B77" s="8" t="s">
        <v>54</v>
      </c>
      <c r="C77" s="8" t="s">
        <v>54</v>
      </c>
      <c r="D77" s="8" t="s">
        <v>55</v>
      </c>
      <c r="E77" s="7">
        <v>46083</v>
      </c>
      <c r="G77" s="7"/>
      <c r="H77" s="2" t="s">
        <v>24</v>
      </c>
      <c r="I77" s="12">
        <f>SUM(J77:M77)</f>
        <v>0</v>
      </c>
      <c r="J77" s="12"/>
      <c r="K77" s="12"/>
      <c r="L77" s="12"/>
      <c r="M77" s="12"/>
    </row>
    <row r="78" spans="1:13" x14ac:dyDescent="0.25">
      <c r="A78" s="2">
        <f>A77+1</f>
        <v>2</v>
      </c>
      <c r="B78" s="8" t="s">
        <v>54</v>
      </c>
      <c r="C78" s="8" t="s">
        <v>54</v>
      </c>
      <c r="D78" s="8" t="s">
        <v>56</v>
      </c>
      <c r="E78" s="7">
        <v>46083</v>
      </c>
      <c r="G78" s="7"/>
      <c r="H78" s="2" t="s">
        <v>24</v>
      </c>
      <c r="I78" s="12">
        <f t="shared" ref="I78:I84" si="5">SUM(J78:M78)</f>
        <v>0</v>
      </c>
      <c r="J78" s="12"/>
      <c r="K78" s="12"/>
      <c r="L78" s="12"/>
      <c r="M78" s="12"/>
    </row>
    <row r="79" spans="1:13" x14ac:dyDescent="0.25">
      <c r="A79" s="2">
        <f t="shared" ref="A79:A84" si="6">A78+1</f>
        <v>3</v>
      </c>
      <c r="B79" s="8" t="s">
        <v>54</v>
      </c>
      <c r="C79" s="8" t="s">
        <v>54</v>
      </c>
      <c r="D79" s="8" t="s">
        <v>57</v>
      </c>
      <c r="E79" s="7">
        <v>46084</v>
      </c>
      <c r="G79" s="7"/>
      <c r="H79" s="2" t="s">
        <v>24</v>
      </c>
      <c r="I79" s="12">
        <f t="shared" si="5"/>
        <v>0</v>
      </c>
      <c r="J79" s="12"/>
      <c r="K79" s="12"/>
      <c r="L79" s="12"/>
      <c r="M79" s="12"/>
    </row>
    <row r="80" spans="1:13" x14ac:dyDescent="0.25">
      <c r="A80" s="2">
        <f t="shared" si="6"/>
        <v>4</v>
      </c>
      <c r="B80" s="8" t="s">
        <v>102</v>
      </c>
      <c r="C80" s="8" t="s">
        <v>102</v>
      </c>
      <c r="D80" s="8" t="s">
        <v>58</v>
      </c>
      <c r="E80" s="7">
        <v>46085</v>
      </c>
      <c r="G80" s="7"/>
      <c r="H80" s="2" t="s">
        <v>24</v>
      </c>
      <c r="I80" s="12">
        <f t="shared" si="5"/>
        <v>0</v>
      </c>
      <c r="J80" s="12"/>
      <c r="K80" s="12"/>
      <c r="L80" s="12"/>
      <c r="M80" s="12"/>
    </row>
    <row r="81" spans="1:13" x14ac:dyDescent="0.25">
      <c r="A81" s="2">
        <f t="shared" si="6"/>
        <v>5</v>
      </c>
      <c r="B81" s="8" t="s">
        <v>102</v>
      </c>
      <c r="C81" s="8" t="s">
        <v>102</v>
      </c>
      <c r="D81" s="8" t="s">
        <v>58</v>
      </c>
      <c r="E81" s="7">
        <v>46086</v>
      </c>
      <c r="G81" s="7"/>
      <c r="H81" s="2" t="s">
        <v>24</v>
      </c>
      <c r="I81" s="12">
        <f t="shared" si="5"/>
        <v>0</v>
      </c>
      <c r="J81" s="12"/>
      <c r="K81" s="12"/>
      <c r="L81" s="12"/>
      <c r="M81" s="12"/>
    </row>
    <row r="82" spans="1:13" x14ac:dyDescent="0.25">
      <c r="A82" s="2">
        <f t="shared" si="6"/>
        <v>6</v>
      </c>
      <c r="B82" s="8" t="s">
        <v>101</v>
      </c>
      <c r="C82" s="8" t="s">
        <v>101</v>
      </c>
      <c r="D82" s="8" t="s">
        <v>59</v>
      </c>
      <c r="E82" s="7">
        <v>46087</v>
      </c>
      <c r="G82" s="7"/>
      <c r="H82" s="2" t="s">
        <v>24</v>
      </c>
      <c r="I82" s="12">
        <f t="shared" si="5"/>
        <v>0</v>
      </c>
      <c r="J82" s="12"/>
      <c r="K82" s="12"/>
      <c r="L82" s="12"/>
      <c r="M82" s="12"/>
    </row>
    <row r="83" spans="1:13" x14ac:dyDescent="0.25">
      <c r="A83" s="2">
        <f t="shared" si="6"/>
        <v>7</v>
      </c>
      <c r="B83" s="8" t="s">
        <v>54</v>
      </c>
      <c r="C83" s="8" t="s">
        <v>54</v>
      </c>
      <c r="D83" s="2" t="s">
        <v>57</v>
      </c>
      <c r="E83" s="7">
        <v>46087</v>
      </c>
      <c r="G83" s="7"/>
      <c r="H83" s="2" t="s">
        <v>24</v>
      </c>
      <c r="I83" s="12">
        <f t="shared" si="5"/>
        <v>0</v>
      </c>
      <c r="J83" s="12"/>
      <c r="K83" s="12"/>
      <c r="L83" s="12"/>
      <c r="M83" s="12"/>
    </row>
    <row r="84" spans="1:13" x14ac:dyDescent="0.25">
      <c r="A84" s="2">
        <f t="shared" si="6"/>
        <v>8</v>
      </c>
      <c r="B84" s="8" t="s">
        <v>54</v>
      </c>
      <c r="C84" s="8" t="s">
        <v>54</v>
      </c>
      <c r="D84" s="8" t="s">
        <v>57</v>
      </c>
      <c r="E84" s="7">
        <v>46094</v>
      </c>
      <c r="G84" s="7"/>
      <c r="H84" s="2" t="s">
        <v>24</v>
      </c>
      <c r="I84" s="12">
        <f t="shared" si="5"/>
        <v>0</v>
      </c>
      <c r="J84" s="12"/>
      <c r="K84" s="12"/>
      <c r="L84" s="12"/>
      <c r="M84" s="12"/>
    </row>
    <row r="85" spans="1:13" x14ac:dyDescent="0.25">
      <c r="A85" s="2">
        <v>9</v>
      </c>
      <c r="B85" s="26" t="s">
        <v>54</v>
      </c>
      <c r="C85" s="26" t="s">
        <v>122</v>
      </c>
      <c r="D85" s="28" t="s">
        <v>125</v>
      </c>
      <c r="E85" s="7">
        <v>46132</v>
      </c>
      <c r="G85" s="7"/>
      <c r="H85" s="2" t="s">
        <v>24</v>
      </c>
      <c r="I85" s="12">
        <f>SUM(J85:M85)</f>
        <v>0</v>
      </c>
      <c r="J85" s="12"/>
      <c r="K85" s="12"/>
      <c r="L85" s="12"/>
      <c r="M85" s="12"/>
    </row>
    <row r="86" spans="1:13" x14ac:dyDescent="0.25">
      <c r="A86" s="2">
        <v>10</v>
      </c>
      <c r="B86" s="8" t="s">
        <v>54</v>
      </c>
      <c r="C86" s="8" t="s">
        <v>54</v>
      </c>
      <c r="D86" s="8" t="s">
        <v>57</v>
      </c>
      <c r="E86" s="7">
        <v>46139</v>
      </c>
      <c r="G86" s="7"/>
      <c r="H86" s="2" t="s">
        <v>82</v>
      </c>
      <c r="I86" s="12">
        <f>SUM(J86:M86)</f>
        <v>3.5</v>
      </c>
      <c r="J86" s="12">
        <v>1.75</v>
      </c>
      <c r="K86" s="12">
        <f>0.35*5</f>
        <v>1.75</v>
      </c>
      <c r="L86" s="12"/>
      <c r="M86" s="12"/>
    </row>
    <row r="87" spans="1:13" x14ac:dyDescent="0.25">
      <c r="A87" s="2">
        <v>12</v>
      </c>
      <c r="B87" s="2" t="s">
        <v>60</v>
      </c>
      <c r="C87" s="2" t="s">
        <v>60</v>
      </c>
      <c r="D87" s="2" t="s">
        <v>60</v>
      </c>
      <c r="E87" s="7">
        <v>46139</v>
      </c>
      <c r="G87" s="7"/>
      <c r="H87" s="2" t="s">
        <v>82</v>
      </c>
      <c r="I87" s="12">
        <f>SUM(J87:M87)</f>
        <v>143.5</v>
      </c>
      <c r="J87" s="12">
        <f>J93-J74-J86</f>
        <v>31.75</v>
      </c>
      <c r="K87" s="12">
        <f>K93-K74-K86</f>
        <v>31.75</v>
      </c>
      <c r="L87" s="12">
        <f>40-L74-SUM(L77:L84)</f>
        <v>40</v>
      </c>
      <c r="M87" s="12">
        <f>40-M74-SUM(M77:M84)</f>
        <v>40</v>
      </c>
    </row>
    <row r="88" spans="1:13" ht="15.75" thickBot="1" x14ac:dyDescent="0.3">
      <c r="A88" s="14"/>
      <c r="B88" s="14"/>
      <c r="C88" s="14"/>
      <c r="D88" s="14"/>
      <c r="E88" s="14"/>
      <c r="F88" s="14"/>
      <c r="G88" s="14"/>
      <c r="H88" s="14"/>
      <c r="I88" s="15">
        <f>SUM(I77:I87)</f>
        <v>147</v>
      </c>
      <c r="J88" s="15">
        <f>SUM(J86:J87)</f>
        <v>33.5</v>
      </c>
      <c r="K88" s="15">
        <f>SUM(K86:K87)</f>
        <v>33.5</v>
      </c>
      <c r="L88" s="15">
        <f>SUM(L77:L87)</f>
        <v>40</v>
      </c>
      <c r="M88" s="15">
        <f>SUM(M77:M87)</f>
        <v>40</v>
      </c>
    </row>
    <row r="89" spans="1:13" ht="15.75" thickTop="1" x14ac:dyDescent="0.25">
      <c r="I89" s="12"/>
      <c r="J89" s="12"/>
      <c r="K89" s="12"/>
      <c r="L89" s="12"/>
      <c r="M89" s="12"/>
    </row>
    <row r="90" spans="1:13" ht="15.75" thickBot="1" x14ac:dyDescent="0.3">
      <c r="A90" s="13" t="s">
        <v>61</v>
      </c>
      <c r="B90" s="14"/>
      <c r="C90" s="14"/>
      <c r="D90" s="14"/>
      <c r="E90" s="14"/>
      <c r="F90" s="14"/>
      <c r="G90" s="14"/>
      <c r="H90" s="14"/>
      <c r="I90" s="15">
        <f>I74+I88</f>
        <v>160</v>
      </c>
      <c r="J90" s="15">
        <f>J74+J88</f>
        <v>40</v>
      </c>
      <c r="K90" s="15">
        <f>K74+K88</f>
        <v>40</v>
      </c>
      <c r="L90" s="15">
        <f>L74+L88</f>
        <v>40</v>
      </c>
      <c r="M90" s="15">
        <f>M74+M88</f>
        <v>40</v>
      </c>
    </row>
    <row r="91" spans="1:13" ht="15.75" thickTop="1" x14ac:dyDescent="0.25"/>
    <row r="93" spans="1:13" ht="15.75" thickBot="1" x14ac:dyDescent="0.3">
      <c r="A93" s="13" t="s">
        <v>62</v>
      </c>
      <c r="B93" s="14"/>
      <c r="C93" s="14"/>
      <c r="D93" s="14"/>
      <c r="E93" s="14"/>
      <c r="F93" s="14"/>
      <c r="G93" s="14"/>
      <c r="H93" s="14"/>
      <c r="I93" s="15"/>
      <c r="J93" s="15">
        <v>40</v>
      </c>
      <c r="K93" s="15">
        <v>40</v>
      </c>
      <c r="L93" s="15">
        <v>40</v>
      </c>
      <c r="M93" s="15">
        <v>40</v>
      </c>
    </row>
    <row r="94" spans="1:13" ht="16.5" thickTop="1" thickBot="1" x14ac:dyDescent="0.3">
      <c r="A94" s="13" t="s">
        <v>63</v>
      </c>
      <c r="B94" s="14"/>
      <c r="C94" s="14"/>
      <c r="D94" s="14"/>
      <c r="E94" s="14"/>
      <c r="F94" s="14"/>
      <c r="G94" s="14"/>
      <c r="H94" s="14"/>
      <c r="I94" s="15"/>
      <c r="J94" s="15">
        <f t="shared" ref="J94:M94" si="7">J90-J93</f>
        <v>0</v>
      </c>
      <c r="K94" s="15">
        <f>K90-K93</f>
        <v>0</v>
      </c>
      <c r="L94" s="15">
        <f t="shared" si="7"/>
        <v>0</v>
      </c>
      <c r="M94" s="15">
        <f t="shared" si="7"/>
        <v>0</v>
      </c>
    </row>
    <row r="95" spans="1:13" ht="15.75" thickTop="1" x14ac:dyDescent="0.25"/>
  </sheetData>
  <protectedRanges>
    <protectedRange sqref="D77:J77 E83:H83 J9:K15 L9:L33 L35:L37 A8:XFD8 D78:H82 K16:K49 K53:K66 A77:C85 J78:J85 D84:H85 L77:XFD87 K77:K85 A86:H87 I78:I87 M9:XFD73 L39:L73 A9:A73 K73 J86:K87 H9:I73 J67:K72" name="Range1"/>
    <protectedRange sqref="C9:C69 C71:C73" name="Range1_1"/>
    <protectedRange sqref="D9:D73" name="Range1_2"/>
    <protectedRange sqref="E9:G73" name="Range1_3"/>
    <protectedRange sqref="B11" name="Range1_1_1"/>
    <protectedRange sqref="B14" name="Range1_1_2"/>
  </protectedRanges>
  <autoFilter ref="A7:M74" xr:uid="{1E564AE0-AA72-4913-9BCD-9418DAAF05FF}"/>
  <pageMargins left="0.25" right="0.25" top="0.75" bottom="0.75" header="0.3" footer="0.3"/>
  <pageSetup orientation="landscape" horizontalDpi="1200" verticalDpi="1200" r:id="rId1"/>
  <ignoredErrors>
    <ignoredError sqref="J90" 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747F594-8604-4D4B-A49D-F6C228DDF3BC}">
          <x14:formula1>
            <xm:f>Status!$B$4:$B$12</xm:f>
          </x14:formula1>
          <xm:sqref>D7 D9:D73</xm:sqref>
        </x14:dataValidation>
        <x14:dataValidation type="list" allowBlank="1" showInputMessage="1" showErrorMessage="1" xr:uid="{3BC63C09-9ED0-4E0F-B34D-CBFABDD1ADFC}">
          <x14:formula1>
            <xm:f>Status!$B$15:$B$22</xm:f>
          </x14:formula1>
          <xm:sqref>H77:H87 H9:H73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76B9-4A67-46D2-B9D9-51993366B1A7}">
  <dimension ref="A1:A7"/>
  <sheetViews>
    <sheetView workbookViewId="0">
      <selection activeCell="D15" sqref="D15"/>
    </sheetView>
  </sheetViews>
  <sheetFormatPr defaultRowHeight="15" x14ac:dyDescent="0.25"/>
  <cols>
    <col min="1" max="1" width="79.7109375" style="2" bestFit="1" customWidth="1"/>
    <col min="2" max="16384" width="9.140625" style="2"/>
  </cols>
  <sheetData>
    <row r="1" spans="1:1" s="17" customFormat="1" ht="16.5" thickBot="1" x14ac:dyDescent="0.3">
      <c r="A1" s="16" t="s">
        <v>95</v>
      </c>
    </row>
    <row r="2" spans="1:1" s="17" customFormat="1" ht="15.75" x14ac:dyDescent="0.25">
      <c r="A2" s="18"/>
    </row>
    <row r="3" spans="1:1" ht="15.75" x14ac:dyDescent="0.25">
      <c r="A3" s="19" t="s">
        <v>96</v>
      </c>
    </row>
    <row r="4" spans="1:1" ht="15.75" x14ac:dyDescent="0.25">
      <c r="A4" s="19" t="s">
        <v>97</v>
      </c>
    </row>
    <row r="5" spans="1:1" ht="15.75" x14ac:dyDescent="0.25">
      <c r="A5" s="19" t="s">
        <v>98</v>
      </c>
    </row>
    <row r="6" spans="1:1" ht="15.75" x14ac:dyDescent="0.25">
      <c r="A6" s="19" t="s">
        <v>99</v>
      </c>
    </row>
    <row r="7" spans="1:1" ht="15.75" x14ac:dyDescent="0.25">
      <c r="A7" s="19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37B6-574E-4B25-83CD-3C38EBA35A2D}">
  <dimension ref="B3:C22"/>
  <sheetViews>
    <sheetView topLeftCell="A9" workbookViewId="0">
      <selection activeCell="D15" sqref="D15"/>
    </sheetView>
  </sheetViews>
  <sheetFormatPr defaultRowHeight="15" x14ac:dyDescent="0.25"/>
  <cols>
    <col min="1" max="1" width="9.140625" style="2"/>
    <col min="2" max="2" width="42.28515625" style="2" bestFit="1" customWidth="1"/>
    <col min="3" max="3" width="105" style="2" bestFit="1" customWidth="1"/>
    <col min="4" max="16384" width="9.140625" style="2"/>
  </cols>
  <sheetData>
    <row r="3" spans="2:3" ht="16.5" x14ac:dyDescent="0.25">
      <c r="B3" s="20" t="s">
        <v>66</v>
      </c>
      <c r="C3" s="20" t="s">
        <v>67</v>
      </c>
    </row>
    <row r="4" spans="2:3" x14ac:dyDescent="0.25">
      <c r="B4" s="21" t="s">
        <v>68</v>
      </c>
      <c r="C4" s="22" t="s">
        <v>69</v>
      </c>
    </row>
    <row r="5" spans="2:3" x14ac:dyDescent="0.25">
      <c r="B5" s="21" t="s">
        <v>70</v>
      </c>
      <c r="C5" s="22" t="s">
        <v>71</v>
      </c>
    </row>
    <row r="6" spans="2:3" x14ac:dyDescent="0.25">
      <c r="B6" s="21" t="s">
        <v>36</v>
      </c>
      <c r="C6" s="22" t="s">
        <v>72</v>
      </c>
    </row>
    <row r="7" spans="2:3" x14ac:dyDescent="0.25">
      <c r="B7" s="21" t="s">
        <v>23</v>
      </c>
      <c r="C7" s="22" t="s">
        <v>73</v>
      </c>
    </row>
    <row r="8" spans="2:3" x14ac:dyDescent="0.25">
      <c r="B8" s="21" t="s">
        <v>74</v>
      </c>
      <c r="C8" s="22" t="s">
        <v>75</v>
      </c>
    </row>
    <row r="9" spans="2:3" x14ac:dyDescent="0.25">
      <c r="B9" s="21" t="s">
        <v>33</v>
      </c>
      <c r="C9" s="22" t="s">
        <v>76</v>
      </c>
    </row>
    <row r="10" spans="2:3" x14ac:dyDescent="0.25">
      <c r="B10" s="21" t="s">
        <v>77</v>
      </c>
      <c r="C10" s="22" t="s">
        <v>78</v>
      </c>
    </row>
    <row r="11" spans="2:3" x14ac:dyDescent="0.25">
      <c r="B11" s="21" t="s">
        <v>41</v>
      </c>
      <c r="C11" s="22" t="s">
        <v>79</v>
      </c>
    </row>
    <row r="12" spans="2:3" x14ac:dyDescent="0.25">
      <c r="B12" s="21" t="s">
        <v>39</v>
      </c>
      <c r="C12" s="23" t="s">
        <v>80</v>
      </c>
    </row>
    <row r="14" spans="2:3" ht="16.5" x14ac:dyDescent="0.25">
      <c r="B14" s="20" t="s">
        <v>81</v>
      </c>
      <c r="C14" s="20" t="s">
        <v>67</v>
      </c>
    </row>
    <row r="15" spans="2:3" x14ac:dyDescent="0.25">
      <c r="B15" s="24" t="s">
        <v>82</v>
      </c>
      <c r="C15" s="22" t="s">
        <v>83</v>
      </c>
    </row>
    <row r="16" spans="2:3" x14ac:dyDescent="0.25">
      <c r="B16" s="24" t="s">
        <v>28</v>
      </c>
      <c r="C16" s="22" t="s">
        <v>84</v>
      </c>
    </row>
    <row r="17" spans="2:3" x14ac:dyDescent="0.25">
      <c r="B17" s="24" t="s">
        <v>85</v>
      </c>
      <c r="C17" s="22" t="s">
        <v>86</v>
      </c>
    </row>
    <row r="18" spans="2:3" x14ac:dyDescent="0.25">
      <c r="B18" s="24" t="s">
        <v>43</v>
      </c>
      <c r="C18" s="22" t="s">
        <v>87</v>
      </c>
    </row>
    <row r="19" spans="2:3" x14ac:dyDescent="0.25">
      <c r="B19" s="24" t="s">
        <v>88</v>
      </c>
      <c r="C19" s="22" t="s">
        <v>89</v>
      </c>
    </row>
    <row r="20" spans="2:3" x14ac:dyDescent="0.25">
      <c r="B20" s="24" t="s">
        <v>24</v>
      </c>
      <c r="C20" s="22" t="s">
        <v>90</v>
      </c>
    </row>
    <row r="21" spans="2:3" x14ac:dyDescent="0.25">
      <c r="B21" s="24" t="s">
        <v>91</v>
      </c>
      <c r="C21" s="22" t="s">
        <v>92</v>
      </c>
    </row>
    <row r="22" spans="2:3" x14ac:dyDescent="0.25">
      <c r="B22" s="24" t="s">
        <v>93</v>
      </c>
      <c r="C22" s="22" t="s">
        <v>94</v>
      </c>
    </row>
  </sheetData>
  <protectedRanges>
    <protectedRange sqref="C12" name="Range1_1"/>
  </protectedRanges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Instruction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kalal</dc:creator>
  <cp:lastModifiedBy>Anantkumar Suthar</cp:lastModifiedBy>
  <dcterms:created xsi:type="dcterms:W3CDTF">2026-03-20T06:02:26Z</dcterms:created>
  <dcterms:modified xsi:type="dcterms:W3CDTF">2026-05-01T16:34:15Z</dcterms:modified>
</cp:coreProperties>
</file>