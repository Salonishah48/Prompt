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Jainam Appa\"/>
    </mc:Choice>
  </mc:AlternateContent>
  <xr:revisionPtr revIDLastSave="0" documentId="13_ncr:1_{FA75A490-994D-4CB3-AD58-C45FFB5B41D3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  <sheet name="Client List" sheetId="4" r:id="rId4"/>
  </sheets>
  <definedNames>
    <definedName name="_xlnm._FilterDatabase" localSheetId="0" hidden="1">WIP!$A$7:$M$48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9" i="1" l="1"/>
  <c r="I56" i="1"/>
  <c r="J68" i="1"/>
  <c r="J70" i="1" s="1"/>
  <c r="L68" i="1"/>
  <c r="K68" i="1"/>
  <c r="I64" i="1"/>
  <c r="L59" i="1"/>
  <c r="L70" i="1" s="1"/>
  <c r="K59" i="1"/>
  <c r="K70" i="1" s="1"/>
  <c r="J59" i="1"/>
  <c r="I47" i="1"/>
  <c r="I48" i="1"/>
  <c r="I49" i="1"/>
  <c r="I50" i="1"/>
  <c r="I51" i="1"/>
  <c r="I52" i="1"/>
  <c r="I53" i="1"/>
  <c r="I54" i="1"/>
  <c r="I55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9" i="1"/>
  <c r="K6" i="1"/>
  <c r="L6" i="1" s="1"/>
  <c r="M6" i="1" s="1"/>
  <c r="I62" i="1"/>
  <c r="I68" i="1" s="1"/>
  <c r="I63" i="1"/>
  <c r="I65" i="1"/>
  <c r="M68" i="1"/>
  <c r="M70" i="1" l="1"/>
  <c r="M74" i="1" s="1"/>
  <c r="I59" i="1"/>
  <c r="I70" i="1" s="1"/>
  <c r="I73" i="1" s="1"/>
  <c r="J74" i="1"/>
</calcChain>
</file>

<file path=xl/sharedStrings.xml><?xml version="1.0" encoding="utf-8"?>
<sst xmlns="http://schemas.openxmlformats.org/spreadsheetml/2006/main" count="399" uniqueCount="157">
  <si>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</si>
  <si>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</si>
  <si>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</si>
  <si>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</si>
  <si>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</si>
  <si>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</si>
  <si>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</si>
  <si>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</si>
  <si>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</si>
  <si>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</si>
  <si>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</si>
  <si>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</si>
  <si>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</si>
  <si>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</si>
  <si>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</si>
  <si>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</si>
  <si>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</si>
  <si>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</si>
  <si>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</si>
  <si>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</si>
  <si>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</si>
  <si>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</si>
  <si>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</si>
  <si>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</si>
  <si>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</si>
  <si>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</si>
  <si>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</si>
  <si>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</si>
  <si>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</si>
  <si>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</si>
  <si>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</si>
  <si>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</si>
  <si>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</si>
  <si>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</si>
  <si>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</si>
  <si>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</si>
  <si>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</si>
  <si>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</si>
  <si>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</si>
  <si>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</si>
  <si>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</si>
  <si>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</si>
  <si>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</si>
  <si>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</si>
  <si>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</si>
  <si>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</si>
  <si>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</si>
  <si>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</si>
  <si>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</si>
  <si>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</si>
  <si>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</si>
  <si>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</si>
  <si>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</si>
  <si>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</si>
  <si>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</si>
  <si>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</si>
  <si>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</si>
  <si>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</si>
  <si>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</si>
  <si>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</si>
  <si>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</si>
  <si>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</si>
  <si>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</si>
  <si>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</si>
  <si>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</si>
  <si>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</si>
  <si>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</si>
  <si>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</si>
  <si>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</si>
  <si>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Meeting and communication with client, poc</t>
  </si>
  <si>
    <t>Monali Shah</t>
  </si>
  <si>
    <t>Jainam Appa</t>
  </si>
  <si>
    <t>All Client</t>
  </si>
  <si>
    <t>NA</t>
  </si>
  <si>
    <t>Senior</t>
  </si>
  <si>
    <t>Taxcap Business Services Inc.</t>
  </si>
  <si>
    <t>Sr.No</t>
  </si>
  <si>
    <t>Advanced Accounting &amp; Tax Solutions</t>
  </si>
  <si>
    <t>Bearden Stroup &amp; Associates CPAs</t>
  </si>
  <si>
    <t>Bookworks Accounting &amp; Bookkeeping, LLC</t>
  </si>
  <si>
    <t>CAVU Human Capital Management</t>
  </si>
  <si>
    <t>Christy Shepherd Ervin</t>
  </si>
  <si>
    <t>Clarke Public Accounting, Co.</t>
  </si>
  <si>
    <t>Conscious Accounting</t>
  </si>
  <si>
    <t>Convery CPA</t>
  </si>
  <si>
    <t>DPB CPA</t>
  </si>
  <si>
    <t>Gift CPAs, LLC</t>
  </si>
  <si>
    <t>Gracida Homes LLC</t>
  </si>
  <si>
    <t>Hilltop Research</t>
  </si>
  <si>
    <t>HM &amp; M Advisory, LLC A Springline Company</t>
  </si>
  <si>
    <t>Jebran &amp; Abraham PC</t>
  </si>
  <si>
    <t>L&amp;Y Tax Advisors (Jake Lambert)</t>
  </si>
  <si>
    <t>Leung Tax Consulting, Inc.</t>
  </si>
  <si>
    <t>Matthew Mann CPA PLLC</t>
  </si>
  <si>
    <t>Mollica and Yeaman LLC</t>
  </si>
  <si>
    <t>SDA CPA Group, P.C</t>
  </si>
  <si>
    <t>Sharp Income Tax Service, Inc.</t>
  </si>
  <si>
    <t>Springline Advisory LLC</t>
  </si>
  <si>
    <t>SPRLINE CONSULTANCY PRIVATE LIMITED</t>
  </si>
  <si>
    <t>The Tax Planning Pros</t>
  </si>
  <si>
    <t>Tina Nguyen</t>
  </si>
  <si>
    <t>Total Income Tax LLC</t>
  </si>
  <si>
    <t>VN Florida Homes LLC</t>
  </si>
  <si>
    <t>Warriror Business Services</t>
  </si>
  <si>
    <t>Palma Financial</t>
  </si>
  <si>
    <t>Gurram Tax, LLC</t>
  </si>
  <si>
    <t>Week 4</t>
  </si>
  <si>
    <t>Week 1</t>
  </si>
  <si>
    <t>AvoToasty LLC</t>
  </si>
  <si>
    <t>Cold Stone Creamery- Pleasanton</t>
  </si>
  <si>
    <t>Colony Wine Merchant</t>
  </si>
  <si>
    <t>Far Field Beer</t>
  </si>
  <si>
    <t>Chicken Confidential</t>
  </si>
  <si>
    <t>La Rocco's Pizzeria</t>
  </si>
  <si>
    <t>Island Hut</t>
  </si>
  <si>
    <t>New India Oven</t>
  </si>
  <si>
    <t>Good Pizza- PDR</t>
  </si>
  <si>
    <t>El Barrio Cantina</t>
  </si>
  <si>
    <t>Honduras Kitchen</t>
  </si>
  <si>
    <t>SRA Venture - Cold Stone Creamery- San Ramon</t>
  </si>
  <si>
    <t>The Standard Station</t>
  </si>
  <si>
    <t>Z's Montebello Restaurant</t>
  </si>
  <si>
    <t>Sunday Gravy LLC</t>
  </si>
  <si>
    <t>The Tavern on Main Santa Monica</t>
  </si>
  <si>
    <t>8501 LLC (New Ay papa)</t>
  </si>
  <si>
    <t>323 Auto Collision</t>
  </si>
  <si>
    <t>A's Collision and Auto Repair</t>
  </si>
  <si>
    <t>Ekkamai Thai Restaurant</t>
  </si>
  <si>
    <t>LA Glow - LA Prestige Window Cleaning</t>
  </si>
  <si>
    <t>Sire Custome Performance</t>
  </si>
  <si>
    <t>Street Dreamz Performance LLC</t>
  </si>
  <si>
    <t>Granvia Auto Repair</t>
  </si>
  <si>
    <t>Undergrind Cafe</t>
  </si>
  <si>
    <t>Metro Two Way Communication</t>
  </si>
  <si>
    <t>Undergrind Raw</t>
  </si>
  <si>
    <t>Refresh By Ekkamai</t>
  </si>
  <si>
    <t>Lobster Guys - Licensing</t>
  </si>
  <si>
    <t>M&amp;N Automotive Inc</t>
  </si>
  <si>
    <t>G&amp;J Automotive Repair Inc</t>
  </si>
  <si>
    <t>JPMR LLC</t>
  </si>
  <si>
    <t>Los Patrones Cocina Mexicans</t>
  </si>
  <si>
    <t>Larios Distribution</t>
  </si>
  <si>
    <t>Rosty Peruvian LLC</t>
  </si>
  <si>
    <t>Miches De La Baja - Carson</t>
  </si>
  <si>
    <t>Miches De La Baja #2 OLD Los Patrones Cantina</t>
  </si>
  <si>
    <t>South Bay British</t>
  </si>
  <si>
    <t>Turquiose Cuisine Inc</t>
  </si>
  <si>
    <t>Gramajo's Custome Homes Inc</t>
  </si>
  <si>
    <t>Good Pizza-LAX</t>
  </si>
  <si>
    <t>LACTC - Moto Classic</t>
  </si>
  <si>
    <t>Pro Tech Underwater Maintenance</t>
  </si>
  <si>
    <t>The Ananda Group</t>
  </si>
  <si>
    <t>Westchester bakery</t>
  </si>
  <si>
    <t>Westside Performance Hot Rod</t>
  </si>
  <si>
    <t>Hi Tech Cleaner Inc</t>
  </si>
  <si>
    <t>Week 2</t>
  </si>
  <si>
    <t>Week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</si>
</sst>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0" fontId="8" fillId="0" borderId="3" xfId="0" applyFont="1" applyBorder="1"/>
    <xf numFmtId="0" fontId="9" fillId="0" borderId="3" xfId="0" applyFont="1" applyBorder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abSelected="1" zoomScaleNormal="100" workbookViewId="0">
      <pane xSplit="2" ySplit="7" topLeftCell="D75" activePane="bottomRight" state="frozen"/>
      <selection pane="topRight" activeCell="C1" sqref="C1"/>
      <selection pane="bottomLeft" activeCell="A7" sqref="A7"/>
      <selection pane="bottomRight" activeCell="G84" sqref="G84"/>
    </sheetView>
  </sheetViews>
  <sheetFormatPr defaultRowHeight="15" x14ac:dyDescent="0.25"/>
  <cols>
    <col min="1" max="1" width="24.5703125" bestFit="1" customWidth="1"/>
    <col min="2" max="2" width="28.42578125" customWidth="1"/>
    <col min="3" max="3" width="44.28515625" bestFit="1" customWidth="1"/>
    <col min="4" max="4" width="25.140625" bestFit="1" customWidth="1"/>
    <col min="5" max="5" width="10.7109375" bestFit="1" customWidth="1"/>
    <col min="6" max="6" width="9" bestFit="1" customWidth="1"/>
    <col min="7" max="7" width="11.42578125" bestFit="1" customWidth="1"/>
    <col min="8" max="8" width="11.140625" bestFit="1" customWidth="1"/>
    <col min="9" max="9" width="20.140625" bestFit="1" customWidth="1"/>
    <col min="10" max="10" width="10.7109375" bestFit="1" customWidth="1"/>
    <col min="11" max="12" width="10.7109375" customWidth="1"/>
    <col min="13" max="13" width="10.7109375" bestFit="1" customWidth="1"/>
  </cols>
  <sheetData>
    <row r="1" spans="1:13" x14ac:dyDescent="0.25">
      <c r="A1" s="1" t="s">
        <v>0</v>
      </c>
      <c r="H1" s="10"/>
    </row>
    <row r="2" spans="1:13" x14ac:dyDescent="0.25">
      <c r="A2" s="1" t="s">
        <v>1</v>
      </c>
      <c r="B2" s="9" t="s">
        <v>70</v>
      </c>
      <c r="C2" s="9"/>
      <c r="H2" s="1"/>
      <c r="I2" s="1"/>
    </row>
    <row r="3" spans="1:13" x14ac:dyDescent="0.25">
      <c r="A3" s="1" t="s">
        <v>2</v>
      </c>
      <c r="B3" s="9" t="s">
        <v>74</v>
      </c>
      <c r="C3" s="9"/>
      <c r="H3" s="1"/>
      <c r="I3" s="1"/>
    </row>
    <row r="4" spans="1:13" x14ac:dyDescent="0.25">
      <c r="A4" s="1" t="s">
        <v>3</v>
      </c>
      <c r="B4" s="9" t="s">
        <v>71</v>
      </c>
      <c r="C4" s="9"/>
      <c r="H4" s="1"/>
      <c r="I4" s="1"/>
    </row>
    <row r="5" spans="1:13" x14ac:dyDescent="0.25">
      <c r="A5" s="1"/>
      <c r="B5" s="9"/>
      <c r="C5" s="9"/>
    </row>
    <row r="6" spans="1:13" x14ac:dyDescent="0.25">
      <c r="I6" s="7" t="s">
        <v>4</v>
      </c>
      <c r="J6" s="2">
        <v>46146</v>
      </c>
      <c r="K6" s="2">
        <f>J6+7</f>
        <v>46153</v>
      </c>
      <c r="L6" s="2">
        <f>K6+7</f>
        <v>46160</v>
      </c>
      <c r="M6" s="2">
        <f>L6+7</f>
        <v>46167</v>
      </c>
    </row>
    <row r="7" spans="1:13" ht="30" x14ac:dyDescent="0.25">
      <c r="A7" s="3" t="s">
        <v>5</v>
      </c>
      <c r="B7" s="3" t="s">
        <v>6</v>
      </c>
      <c r="C7" s="3" t="s">
        <v>7</v>
      </c>
      <c r="D7" s="22" t="s">
        <v>35</v>
      </c>
      <c r="E7" s="3" t="s">
        <v>8</v>
      </c>
      <c r="F7" s="3" t="s">
        <v>9</v>
      </c>
      <c r="G7" s="3" t="s">
        <v>10</v>
      </c>
      <c r="H7" s="22" t="s">
        <v>11</v>
      </c>
      <c r="I7" s="3" t="s">
        <v>12</v>
      </c>
      <c r="J7" s="3" t="s">
        <v>107</v>
      </c>
      <c r="K7" s="3" t="s">
        <v>155</v>
      </c>
      <c r="L7" s="3" t="s">
        <v>156</v>
      </c>
      <c r="M7" s="3" t="s">
        <v>106</v>
      </c>
    </row>
    <row r="8" spans="1:13" x14ac:dyDescent="0.25">
      <c r="A8" s="6" t="s">
        <v>13</v>
      </c>
      <c r="B8" s="4"/>
      <c r="C8" s="4"/>
      <c r="D8" s="22"/>
      <c r="E8" s="4"/>
      <c r="F8" s="4"/>
      <c r="G8" s="4"/>
      <c r="H8" s="22"/>
      <c r="I8" s="4"/>
      <c r="J8" s="5"/>
      <c r="K8" s="5"/>
      <c r="L8" s="5"/>
    </row>
    <row r="9" spans="1:13" x14ac:dyDescent="0.25">
      <c r="A9">
        <v>1</v>
      </c>
      <c r="B9" t="s">
        <v>75</v>
      </c>
      <c r="C9" s="27" t="s">
        <v>108</v>
      </c>
      <c r="D9" s="23" t="s">
        <v>37</v>
      </c>
      <c r="E9" s="2">
        <v>46147</v>
      </c>
      <c r="F9" s="2" t="s">
        <v>73</v>
      </c>
      <c r="G9" s="2" t="s">
        <v>73</v>
      </c>
      <c r="H9" s="23" t="s">
        <v>26</v>
      </c>
      <c r="I9" s="12">
        <f>SUM(J9:M9)</f>
        <v>3.5</v>
      </c>
      <c r="J9" s="12">
        <v>3.5</v>
      </c>
      <c r="K9" s="12"/>
      <c r="L9" s="12"/>
      <c r="M9" s="12"/>
    </row>
    <row r="10" spans="1:13" x14ac:dyDescent="0.25">
      <c r="A10">
        <v>2</v>
      </c>
      <c r="B10" t="s">
        <v>75</v>
      </c>
      <c r="C10" s="27" t="s">
        <v>109</v>
      </c>
      <c r="D10" s="23" t="s">
        <v>37</v>
      </c>
      <c r="E10" s="2">
        <v>46147</v>
      </c>
      <c r="F10" s="2" t="s">
        <v>73</v>
      </c>
      <c r="G10" s="2" t="s">
        <v>73</v>
      </c>
      <c r="H10" s="23" t="s">
        <v>26</v>
      </c>
      <c r="I10" s="12">
        <f>SUM(J10:M10)</f>
        <v>3</v>
      </c>
      <c r="J10" s="12">
        <v>3</v>
      </c>
      <c r="K10" s="12"/>
      <c r="L10" s="12"/>
      <c r="M10" s="12"/>
    </row>
    <row r="11" spans="1:13" x14ac:dyDescent="0.25">
      <c r="A11">
        <v>3</v>
      </c>
      <c r="B11" t="s">
        <v>75</v>
      </c>
      <c r="C11" s="27" t="s">
        <v>110</v>
      </c>
      <c r="D11" s="23" t="s">
        <v>37</v>
      </c>
      <c r="E11" s="2">
        <v>46147</v>
      </c>
      <c r="F11" s="2" t="s">
        <v>73</v>
      </c>
      <c r="G11" s="2" t="s">
        <v>73</v>
      </c>
      <c r="H11" s="23" t="s">
        <v>26</v>
      </c>
      <c r="I11" s="12">
        <f>SUM(J11:M11)</f>
        <v>3</v>
      </c>
      <c r="J11" s="12">
        <v>3</v>
      </c>
      <c r="K11" s="12"/>
      <c r="L11" s="12"/>
      <c r="M11" s="12"/>
    </row>
    <row r="12" spans="1:13" x14ac:dyDescent="0.25">
      <c r="A12">
        <v>4</v>
      </c>
      <c r="B12" t="s">
        <v>75</v>
      </c>
      <c r="C12" s="28" t="s">
        <v>111</v>
      </c>
      <c r="D12" s="23" t="s">
        <v>37</v>
      </c>
      <c r="E12" s="2">
        <v>46147</v>
      </c>
      <c r="F12" s="2" t="s">
        <v>73</v>
      </c>
      <c r="G12" s="2" t="s">
        <v>73</v>
      </c>
      <c r="H12" s="23" t="s">
        <v>26</v>
      </c>
      <c r="I12" s="12">
        <f>SUM(J12:M12)</f>
        <v>3.5</v>
      </c>
      <c r="J12" s="12">
        <v>3.5</v>
      </c>
      <c r="K12" s="12"/>
      <c r="L12" s="12"/>
      <c r="M12" s="12"/>
    </row>
    <row r="13" spans="1:13" x14ac:dyDescent="0.25">
      <c r="A13">
        <v>5</v>
      </c>
      <c r="B13" t="s">
        <v>75</v>
      </c>
      <c r="C13" s="28" t="s">
        <v>112</v>
      </c>
      <c r="D13" s="23" t="s">
        <v>37</v>
      </c>
      <c r="E13" s="2">
        <v>46147</v>
      </c>
      <c r="F13" s="2" t="s">
        <v>73</v>
      </c>
      <c r="G13" s="2" t="s">
        <v>73</v>
      </c>
      <c r="H13" s="23" t="s">
        <v>26</v>
      </c>
      <c r="I13" s="12">
        <f>SUM(J13:M13)</f>
        <v>2.2999999999999998</v>
      </c>
      <c r="J13" s="12">
        <v>2.2999999999999998</v>
      </c>
      <c r="K13" s="12"/>
      <c r="L13" s="12"/>
      <c r="M13" s="12"/>
    </row>
    <row r="14" spans="1:13" x14ac:dyDescent="0.25">
      <c r="A14">
        <v>6</v>
      </c>
      <c r="B14" t="s">
        <v>75</v>
      </c>
      <c r="C14" s="27" t="s">
        <v>113</v>
      </c>
      <c r="D14" s="23" t="s">
        <v>37</v>
      </c>
      <c r="E14" s="2">
        <v>46147</v>
      </c>
      <c r="F14" s="2" t="s">
        <v>73</v>
      </c>
      <c r="G14" s="2" t="s">
        <v>73</v>
      </c>
      <c r="H14" s="23" t="s">
        <v>26</v>
      </c>
      <c r="I14" s="12">
        <f>SUM(J14:M14)</f>
        <v>2.5</v>
      </c>
      <c r="J14" s="12">
        <v>2.5</v>
      </c>
      <c r="K14" s="12"/>
      <c r="L14" s="12"/>
      <c r="M14" s="12"/>
    </row>
    <row r="15" spans="1:13" x14ac:dyDescent="0.25">
      <c r="A15">
        <v>7</v>
      </c>
      <c r="B15" t="s">
        <v>75</v>
      </c>
      <c r="C15" s="27" t="s">
        <v>114</v>
      </c>
      <c r="D15" s="23" t="s">
        <v>37</v>
      </c>
      <c r="E15" s="2">
        <v>46147</v>
      </c>
      <c r="F15" s="2" t="s">
        <v>73</v>
      </c>
      <c r="G15" s="2" t="s">
        <v>73</v>
      </c>
      <c r="H15" s="23" t="s">
        <v>26</v>
      </c>
      <c r="I15" s="12">
        <f>SUM(J15:M15)</f>
        <v>3.5</v>
      </c>
      <c r="J15" s="12">
        <v>3.5</v>
      </c>
      <c r="K15" s="12"/>
      <c r="L15" s="12"/>
      <c r="M15" s="12"/>
    </row>
    <row r="16" spans="1:13" x14ac:dyDescent="0.25">
      <c r="A16">
        <v>8</v>
      </c>
      <c r="B16" t="s">
        <v>75</v>
      </c>
      <c r="C16" s="27" t="s">
        <v>115</v>
      </c>
      <c r="D16" s="23" t="s">
        <v>37</v>
      </c>
      <c r="E16" s="2">
        <v>46147</v>
      </c>
      <c r="F16" s="2" t="s">
        <v>73</v>
      </c>
      <c r="G16" s="2" t="s">
        <v>73</v>
      </c>
      <c r="H16" s="23" t="s">
        <v>26</v>
      </c>
      <c r="I16" s="12">
        <f>SUM(J16:M16)</f>
        <v>3</v>
      </c>
      <c r="J16" s="12">
        <v>3</v>
      </c>
      <c r="K16" s="12"/>
      <c r="L16" s="12"/>
      <c r="M16" s="12"/>
    </row>
    <row r="17" spans="1:13" x14ac:dyDescent="0.25">
      <c r="A17">
        <v>9</v>
      </c>
      <c r="B17" t="s">
        <v>75</v>
      </c>
      <c r="C17" s="28" t="s">
        <v>116</v>
      </c>
      <c r="D17" s="23" t="s">
        <v>37</v>
      </c>
      <c r="E17" s="2">
        <v>46147</v>
      </c>
      <c r="F17" s="2" t="s">
        <v>73</v>
      </c>
      <c r="G17" s="2" t="s">
        <v>73</v>
      </c>
      <c r="H17" s="23" t="s">
        <v>26</v>
      </c>
      <c r="I17" s="12">
        <f>SUM(J17:M17)</f>
        <v>3.5</v>
      </c>
      <c r="J17" s="12">
        <v>3.5</v>
      </c>
      <c r="K17" s="12"/>
      <c r="L17" s="12"/>
      <c r="M17" s="12"/>
    </row>
    <row r="18" spans="1:13" x14ac:dyDescent="0.25">
      <c r="A18">
        <v>10</v>
      </c>
      <c r="B18" t="s">
        <v>75</v>
      </c>
      <c r="C18" s="27" t="s">
        <v>117</v>
      </c>
      <c r="D18" s="23" t="s">
        <v>37</v>
      </c>
      <c r="E18" s="2">
        <v>46147</v>
      </c>
      <c r="F18" s="2" t="s">
        <v>73</v>
      </c>
      <c r="G18" s="2" t="s">
        <v>73</v>
      </c>
      <c r="H18" s="23" t="s">
        <v>26</v>
      </c>
      <c r="I18" s="12">
        <f>SUM(J18:M18)</f>
        <v>4</v>
      </c>
      <c r="J18" s="12">
        <v>4</v>
      </c>
      <c r="K18" s="12"/>
      <c r="L18" s="12"/>
      <c r="M18" s="12"/>
    </row>
    <row r="19" spans="1:13" x14ac:dyDescent="0.25">
      <c r="A19">
        <v>11</v>
      </c>
      <c r="B19" t="s">
        <v>75</v>
      </c>
      <c r="C19" s="27" t="s">
        <v>118</v>
      </c>
      <c r="D19" s="23" t="s">
        <v>37</v>
      </c>
      <c r="E19" s="2">
        <v>46147</v>
      </c>
      <c r="F19" s="2" t="s">
        <v>73</v>
      </c>
      <c r="G19" s="2" t="s">
        <v>73</v>
      </c>
      <c r="H19" s="23" t="s">
        <v>26</v>
      </c>
      <c r="I19" s="12">
        <f>SUM(J19:M19)</f>
        <v>4</v>
      </c>
      <c r="J19" s="12">
        <v>4</v>
      </c>
      <c r="K19" s="12"/>
      <c r="L19" s="12"/>
      <c r="M19" s="12"/>
    </row>
    <row r="20" spans="1:13" x14ac:dyDescent="0.25">
      <c r="A20">
        <v>12</v>
      </c>
      <c r="B20" t="s">
        <v>75</v>
      </c>
      <c r="C20" s="27" t="s">
        <v>119</v>
      </c>
      <c r="D20" s="23" t="s">
        <v>37</v>
      </c>
      <c r="E20" s="2">
        <v>46147</v>
      </c>
      <c r="F20" s="2" t="s">
        <v>73</v>
      </c>
      <c r="G20" s="2" t="s">
        <v>73</v>
      </c>
      <c r="H20" s="23" t="s">
        <v>26</v>
      </c>
      <c r="I20" s="12">
        <f>SUM(J20:M20)</f>
        <v>3</v>
      </c>
      <c r="J20" s="12">
        <v>3</v>
      </c>
      <c r="K20" s="12"/>
      <c r="L20" s="12"/>
      <c r="M20" s="12"/>
    </row>
    <row r="21" spans="1:13" x14ac:dyDescent="0.25">
      <c r="A21">
        <v>13</v>
      </c>
      <c r="B21" t="s">
        <v>75</v>
      </c>
      <c r="C21" s="28" t="s">
        <v>120</v>
      </c>
      <c r="D21" s="23" t="s">
        <v>37</v>
      </c>
      <c r="E21" s="2">
        <v>46147</v>
      </c>
      <c r="F21" s="2" t="s">
        <v>73</v>
      </c>
      <c r="G21" s="2" t="s">
        <v>73</v>
      </c>
      <c r="H21" s="23" t="s">
        <v>26</v>
      </c>
      <c r="I21" s="12">
        <f>SUM(J21:M21)</f>
        <v>3.5</v>
      </c>
      <c r="J21" s="12"/>
      <c r="K21" s="12">
        <v>3.5</v>
      </c>
      <c r="L21" s="12"/>
      <c r="M21" s="12"/>
    </row>
    <row r="22" spans="1:13" x14ac:dyDescent="0.25">
      <c r="A22">
        <v>14</v>
      </c>
      <c r="B22" t="s">
        <v>75</v>
      </c>
      <c r="C22" s="27" t="s">
        <v>121</v>
      </c>
      <c r="D22" s="23" t="s">
        <v>37</v>
      </c>
      <c r="E22" s="2">
        <v>46147</v>
      </c>
      <c r="F22" s="2" t="s">
        <v>73</v>
      </c>
      <c r="G22" s="2" t="s">
        <v>73</v>
      </c>
      <c r="H22" s="23" t="s">
        <v>26</v>
      </c>
      <c r="I22" s="12">
        <f>SUM(J22:M22)</f>
        <v>2.25</v>
      </c>
      <c r="J22" s="12"/>
      <c r="K22" s="12">
        <v>2.25</v>
      </c>
      <c r="L22" s="12"/>
      <c r="M22" s="12"/>
    </row>
    <row r="23" spans="1:13" x14ac:dyDescent="0.25">
      <c r="A23">
        <v>15</v>
      </c>
      <c r="B23" t="s">
        <v>75</v>
      </c>
      <c r="C23" s="27" t="s">
        <v>122</v>
      </c>
      <c r="D23" s="23" t="s">
        <v>37</v>
      </c>
      <c r="E23" s="2">
        <v>46147</v>
      </c>
      <c r="F23" s="2" t="s">
        <v>73</v>
      </c>
      <c r="G23" s="2" t="s">
        <v>73</v>
      </c>
      <c r="H23" s="23" t="s">
        <v>26</v>
      </c>
      <c r="I23" s="12">
        <f>SUM(J23:M23)</f>
        <v>3</v>
      </c>
      <c r="J23" s="12"/>
      <c r="K23" s="12">
        <v>3</v>
      </c>
      <c r="L23" s="12"/>
      <c r="M23" s="12"/>
    </row>
    <row r="24" spans="1:13" x14ac:dyDescent="0.25">
      <c r="A24">
        <v>16</v>
      </c>
      <c r="B24" t="s">
        <v>75</v>
      </c>
      <c r="C24" s="28" t="s">
        <v>123</v>
      </c>
      <c r="D24" s="23" t="s">
        <v>37</v>
      </c>
      <c r="E24" s="2">
        <v>46147</v>
      </c>
      <c r="F24" s="2" t="s">
        <v>73</v>
      </c>
      <c r="G24" s="2" t="s">
        <v>73</v>
      </c>
      <c r="H24" s="23" t="s">
        <v>26</v>
      </c>
      <c r="I24" s="12">
        <f>SUM(J24:M24)</f>
        <v>4</v>
      </c>
      <c r="J24" s="12"/>
      <c r="K24" s="12">
        <v>4</v>
      </c>
      <c r="L24" s="12"/>
      <c r="M24" s="12"/>
    </row>
    <row r="25" spans="1:13" x14ac:dyDescent="0.25">
      <c r="A25">
        <v>17</v>
      </c>
      <c r="B25" t="s">
        <v>75</v>
      </c>
      <c r="C25" s="28" t="s">
        <v>124</v>
      </c>
      <c r="D25" s="23" t="s">
        <v>37</v>
      </c>
      <c r="E25" s="2">
        <v>46147</v>
      </c>
      <c r="F25" s="2" t="s">
        <v>73</v>
      </c>
      <c r="G25" s="2" t="s">
        <v>73</v>
      </c>
      <c r="H25" s="23" t="s">
        <v>26</v>
      </c>
      <c r="I25" s="12">
        <f>SUM(J25:M25)</f>
        <v>3</v>
      </c>
      <c r="J25" s="12">
        <v>0</v>
      </c>
      <c r="K25" s="12">
        <v>3</v>
      </c>
      <c r="L25" s="12"/>
      <c r="M25" s="12"/>
    </row>
    <row r="26" spans="1:13" x14ac:dyDescent="0.25">
      <c r="A26">
        <v>18</v>
      </c>
      <c r="B26" t="s">
        <v>75</v>
      </c>
      <c r="C26" s="28" t="s">
        <v>125</v>
      </c>
      <c r="D26" s="23" t="s">
        <v>37</v>
      </c>
      <c r="E26" s="2">
        <v>46147</v>
      </c>
      <c r="F26" s="2" t="s">
        <v>73</v>
      </c>
      <c r="G26" s="2" t="s">
        <v>73</v>
      </c>
      <c r="H26" s="23" t="s">
        <v>26</v>
      </c>
      <c r="I26" s="12">
        <f>SUM(J26:M26)</f>
        <v>3</v>
      </c>
      <c r="J26" s="12">
        <v>0</v>
      </c>
      <c r="K26" s="12">
        <v>3</v>
      </c>
      <c r="L26" s="12"/>
      <c r="M26" s="12"/>
    </row>
    <row r="27" spans="1:13" x14ac:dyDescent="0.25">
      <c r="A27">
        <v>19</v>
      </c>
      <c r="B27" t="s">
        <v>75</v>
      </c>
      <c r="C27" s="28" t="s">
        <v>126</v>
      </c>
      <c r="D27" s="23" t="s">
        <v>37</v>
      </c>
      <c r="E27" s="2">
        <v>46147</v>
      </c>
      <c r="F27" s="2" t="s">
        <v>73</v>
      </c>
      <c r="G27" s="2" t="s">
        <v>73</v>
      </c>
      <c r="H27" s="23" t="s">
        <v>26</v>
      </c>
      <c r="I27" s="12">
        <f>SUM(J27:M27)</f>
        <v>3</v>
      </c>
      <c r="J27" s="12"/>
      <c r="K27" s="12">
        <v>3</v>
      </c>
      <c r="L27" s="12"/>
      <c r="M27" s="12"/>
    </row>
    <row r="28" spans="1:13" x14ac:dyDescent="0.25">
      <c r="A28">
        <v>20</v>
      </c>
      <c r="B28" t="s">
        <v>75</v>
      </c>
      <c r="C28" s="28" t="s">
        <v>127</v>
      </c>
      <c r="D28" s="23" t="s">
        <v>37</v>
      </c>
      <c r="E28" s="2">
        <v>46147</v>
      </c>
      <c r="F28" s="2" t="s">
        <v>73</v>
      </c>
      <c r="G28" s="2" t="s">
        <v>73</v>
      </c>
      <c r="H28" s="23" t="s">
        <v>26</v>
      </c>
      <c r="I28" s="12">
        <f>SUM(J28:M28)</f>
        <v>3.5</v>
      </c>
      <c r="J28" s="12"/>
      <c r="K28" s="12">
        <v>3.5</v>
      </c>
      <c r="L28" s="12"/>
      <c r="M28" s="12"/>
    </row>
    <row r="29" spans="1:13" x14ac:dyDescent="0.25">
      <c r="A29">
        <v>21</v>
      </c>
      <c r="B29" t="s">
        <v>75</v>
      </c>
      <c r="C29" s="28" t="s">
        <v>128</v>
      </c>
      <c r="D29" s="23" t="s">
        <v>37</v>
      </c>
      <c r="E29" s="2">
        <v>46147</v>
      </c>
      <c r="F29" s="2" t="s">
        <v>73</v>
      </c>
      <c r="G29" s="2" t="s">
        <v>73</v>
      </c>
      <c r="H29" s="23" t="s">
        <v>26</v>
      </c>
      <c r="I29" s="12">
        <f>SUM(J29:M29)</f>
        <v>2.5</v>
      </c>
      <c r="J29" s="12"/>
      <c r="K29" s="12">
        <v>2.5</v>
      </c>
      <c r="L29" s="12"/>
      <c r="M29" s="12"/>
    </row>
    <row r="30" spans="1:13" x14ac:dyDescent="0.25">
      <c r="A30">
        <v>22</v>
      </c>
      <c r="B30" t="s">
        <v>75</v>
      </c>
      <c r="C30" s="28" t="s">
        <v>129</v>
      </c>
      <c r="D30" s="23" t="s">
        <v>37</v>
      </c>
      <c r="E30" s="2">
        <v>46147</v>
      </c>
      <c r="F30" s="2" t="s">
        <v>73</v>
      </c>
      <c r="G30" s="2" t="s">
        <v>73</v>
      </c>
      <c r="H30" s="23" t="s">
        <v>26</v>
      </c>
      <c r="I30" s="12">
        <f>SUM(J30:M30)</f>
        <v>3</v>
      </c>
      <c r="J30" s="12"/>
      <c r="K30" s="12">
        <v>3</v>
      </c>
      <c r="L30" s="12"/>
      <c r="M30" s="12"/>
    </row>
    <row r="31" spans="1:13" x14ac:dyDescent="0.25">
      <c r="A31">
        <v>23</v>
      </c>
      <c r="B31" t="s">
        <v>75</v>
      </c>
      <c r="C31" s="28" t="s">
        <v>130</v>
      </c>
      <c r="D31" s="23" t="s">
        <v>37</v>
      </c>
      <c r="E31" s="2">
        <v>46147</v>
      </c>
      <c r="F31" s="2" t="s">
        <v>73</v>
      </c>
      <c r="G31" s="2" t="s">
        <v>73</v>
      </c>
      <c r="H31" s="23" t="s">
        <v>26</v>
      </c>
      <c r="I31" s="12">
        <f>SUM(J31:M31)</f>
        <v>3</v>
      </c>
      <c r="J31" s="12"/>
      <c r="K31" s="12"/>
      <c r="L31" s="12">
        <v>3</v>
      </c>
      <c r="M31" s="12"/>
    </row>
    <row r="32" spans="1:13" x14ac:dyDescent="0.25">
      <c r="A32">
        <v>24</v>
      </c>
      <c r="B32" t="s">
        <v>75</v>
      </c>
      <c r="C32" s="28" t="s">
        <v>131</v>
      </c>
      <c r="D32" s="23" t="s">
        <v>37</v>
      </c>
      <c r="E32" s="2">
        <v>46147</v>
      </c>
      <c r="F32" s="2" t="s">
        <v>73</v>
      </c>
      <c r="G32" s="2" t="s">
        <v>73</v>
      </c>
      <c r="H32" s="23" t="s">
        <v>26</v>
      </c>
      <c r="I32" s="12">
        <f>SUM(J32:M32)</f>
        <v>3</v>
      </c>
      <c r="J32" s="12"/>
      <c r="K32" s="12">
        <v>0</v>
      </c>
      <c r="L32" s="12">
        <v>3</v>
      </c>
      <c r="M32" s="12"/>
    </row>
    <row r="33" spans="1:13" x14ac:dyDescent="0.25">
      <c r="A33">
        <v>25</v>
      </c>
      <c r="B33" t="s">
        <v>75</v>
      </c>
      <c r="C33" s="28" t="s">
        <v>132</v>
      </c>
      <c r="D33" s="23" t="s">
        <v>37</v>
      </c>
      <c r="E33" s="2">
        <v>46147</v>
      </c>
      <c r="F33" s="2" t="s">
        <v>73</v>
      </c>
      <c r="G33" s="2" t="s">
        <v>73</v>
      </c>
      <c r="H33" s="23" t="s">
        <v>26</v>
      </c>
      <c r="I33" s="12">
        <f>SUM(J33:M33)</f>
        <v>4</v>
      </c>
      <c r="J33" s="12"/>
      <c r="K33" s="12">
        <v>0</v>
      </c>
      <c r="L33" s="12">
        <v>4</v>
      </c>
      <c r="M33" s="12"/>
    </row>
    <row r="34" spans="1:13" x14ac:dyDescent="0.25">
      <c r="A34">
        <v>26</v>
      </c>
      <c r="B34" t="s">
        <v>75</v>
      </c>
      <c r="C34" s="28" t="s">
        <v>133</v>
      </c>
      <c r="D34" s="23" t="s">
        <v>37</v>
      </c>
      <c r="E34" s="2">
        <v>46147</v>
      </c>
      <c r="F34" s="2" t="s">
        <v>73</v>
      </c>
      <c r="G34" s="2" t="s">
        <v>73</v>
      </c>
      <c r="H34" s="23" t="s">
        <v>26</v>
      </c>
      <c r="I34" s="12">
        <f>SUM(J34:M34)</f>
        <v>3</v>
      </c>
      <c r="J34" s="12"/>
      <c r="K34" s="12">
        <v>0</v>
      </c>
      <c r="L34" s="12">
        <v>3</v>
      </c>
      <c r="M34" s="12"/>
    </row>
    <row r="35" spans="1:13" x14ac:dyDescent="0.25">
      <c r="A35">
        <v>27</v>
      </c>
      <c r="B35" t="s">
        <v>75</v>
      </c>
      <c r="C35" s="28" t="s">
        <v>134</v>
      </c>
      <c r="D35" s="23" t="s">
        <v>37</v>
      </c>
      <c r="E35" s="2">
        <v>46147</v>
      </c>
      <c r="F35" s="2" t="s">
        <v>73</v>
      </c>
      <c r="G35" s="2" t="s">
        <v>73</v>
      </c>
      <c r="H35" s="23" t="s">
        <v>26</v>
      </c>
      <c r="I35" s="12">
        <f>SUM(J35:M35)</f>
        <v>2.5</v>
      </c>
      <c r="J35" s="12"/>
      <c r="K35" s="12"/>
      <c r="L35" s="12">
        <v>2.5</v>
      </c>
      <c r="M35" s="12"/>
    </row>
    <row r="36" spans="1:13" x14ac:dyDescent="0.25">
      <c r="A36">
        <v>28</v>
      </c>
      <c r="B36" t="s">
        <v>75</v>
      </c>
      <c r="C36" s="27" t="s">
        <v>135</v>
      </c>
      <c r="D36" s="23" t="s">
        <v>37</v>
      </c>
      <c r="E36" s="2">
        <v>46147</v>
      </c>
      <c r="F36" s="2" t="s">
        <v>73</v>
      </c>
      <c r="G36" s="2" t="s">
        <v>73</v>
      </c>
      <c r="H36" s="23" t="s">
        <v>26</v>
      </c>
      <c r="I36" s="12">
        <f>SUM(J36:M36)</f>
        <v>3</v>
      </c>
      <c r="J36" s="12"/>
      <c r="K36" s="12"/>
      <c r="L36" s="12">
        <v>3</v>
      </c>
      <c r="M36" s="12"/>
    </row>
    <row r="37" spans="1:13" x14ac:dyDescent="0.25">
      <c r="A37">
        <v>29</v>
      </c>
      <c r="B37" t="s">
        <v>75</v>
      </c>
      <c r="C37" s="27" t="s">
        <v>136</v>
      </c>
      <c r="D37" s="23" t="s">
        <v>37</v>
      </c>
      <c r="E37" s="2">
        <v>46147</v>
      </c>
      <c r="F37" s="2" t="s">
        <v>73</v>
      </c>
      <c r="G37" s="2" t="s">
        <v>73</v>
      </c>
      <c r="H37" s="23" t="s">
        <v>26</v>
      </c>
      <c r="I37" s="12">
        <f>SUM(J37:M37)</f>
        <v>2</v>
      </c>
      <c r="J37" s="12"/>
      <c r="K37" s="12"/>
      <c r="L37" s="12">
        <v>2</v>
      </c>
      <c r="M37" s="12"/>
    </row>
    <row r="38" spans="1:13" x14ac:dyDescent="0.25">
      <c r="A38">
        <v>30</v>
      </c>
      <c r="B38" t="s">
        <v>75</v>
      </c>
      <c r="C38" s="27" t="s">
        <v>137</v>
      </c>
      <c r="D38" s="23" t="s">
        <v>37</v>
      </c>
      <c r="E38" s="2">
        <v>46147</v>
      </c>
      <c r="F38" s="2" t="s">
        <v>73</v>
      </c>
      <c r="G38" s="2" t="s">
        <v>73</v>
      </c>
      <c r="H38" s="23" t="s">
        <v>26</v>
      </c>
      <c r="I38" s="12">
        <f>SUM(J38:M38)</f>
        <v>2</v>
      </c>
      <c r="J38" s="12"/>
      <c r="K38" s="12"/>
      <c r="L38" s="12">
        <v>2</v>
      </c>
      <c r="M38" s="12"/>
    </row>
    <row r="39" spans="1:13" x14ac:dyDescent="0.25">
      <c r="A39">
        <v>31</v>
      </c>
      <c r="B39" t="s">
        <v>75</v>
      </c>
      <c r="C39" s="27" t="s">
        <v>138</v>
      </c>
      <c r="D39" s="23" t="s">
        <v>37</v>
      </c>
      <c r="E39" s="2">
        <v>46147</v>
      </c>
      <c r="F39" s="2" t="s">
        <v>73</v>
      </c>
      <c r="G39" s="2" t="s">
        <v>73</v>
      </c>
      <c r="H39" s="23" t="s">
        <v>26</v>
      </c>
      <c r="I39" s="12">
        <f>SUM(J39:M39)</f>
        <v>2</v>
      </c>
      <c r="J39" s="12"/>
      <c r="K39" s="12"/>
      <c r="L39" s="12">
        <v>2</v>
      </c>
      <c r="M39" s="12"/>
    </row>
    <row r="40" spans="1:13" x14ac:dyDescent="0.25">
      <c r="A40">
        <v>32</v>
      </c>
      <c r="B40" t="s">
        <v>75</v>
      </c>
      <c r="C40" s="28" t="s">
        <v>139</v>
      </c>
      <c r="D40" s="23" t="s">
        <v>37</v>
      </c>
      <c r="E40" s="2">
        <v>46147</v>
      </c>
      <c r="F40" s="2" t="s">
        <v>73</v>
      </c>
      <c r="G40" s="2" t="s">
        <v>73</v>
      </c>
      <c r="H40" s="23" t="s">
        <v>26</v>
      </c>
      <c r="I40" s="12">
        <f>SUM(J40:M40)</f>
        <v>2</v>
      </c>
      <c r="J40" s="12"/>
      <c r="K40" s="12"/>
      <c r="L40" s="12">
        <v>2</v>
      </c>
      <c r="M40" s="12"/>
    </row>
    <row r="41" spans="1:13" x14ac:dyDescent="0.25">
      <c r="A41">
        <v>33</v>
      </c>
      <c r="B41" t="s">
        <v>75</v>
      </c>
      <c r="C41" s="27" t="s">
        <v>140</v>
      </c>
      <c r="D41" s="23" t="s">
        <v>37</v>
      </c>
      <c r="E41" s="2">
        <v>46147</v>
      </c>
      <c r="F41" s="2" t="s">
        <v>73</v>
      </c>
      <c r="G41" s="2" t="s">
        <v>73</v>
      </c>
      <c r="H41" s="23" t="s">
        <v>26</v>
      </c>
      <c r="I41" s="12">
        <f>SUM(J41:M41)</f>
        <v>2.15</v>
      </c>
      <c r="J41" s="12"/>
      <c r="K41" s="12"/>
      <c r="L41" s="12">
        <v>2.15</v>
      </c>
      <c r="M41" s="12"/>
    </row>
    <row r="42" spans="1:13" x14ac:dyDescent="0.25">
      <c r="A42">
        <v>34</v>
      </c>
      <c r="B42" t="s">
        <v>75</v>
      </c>
      <c r="C42" s="28" t="s">
        <v>141</v>
      </c>
      <c r="D42" s="23" t="s">
        <v>37</v>
      </c>
      <c r="E42" s="2">
        <v>46147</v>
      </c>
      <c r="F42" s="2" t="s">
        <v>73</v>
      </c>
      <c r="G42" s="2" t="s">
        <v>73</v>
      </c>
      <c r="H42" s="23" t="s">
        <v>26</v>
      </c>
      <c r="I42" s="12">
        <f>SUM(J42:M42)</f>
        <v>3</v>
      </c>
      <c r="J42" s="12"/>
      <c r="K42" s="12"/>
      <c r="L42" s="12">
        <v>3</v>
      </c>
      <c r="M42" s="12"/>
    </row>
    <row r="43" spans="1:13" x14ac:dyDescent="0.25">
      <c r="A43">
        <v>35</v>
      </c>
      <c r="B43" t="s">
        <v>75</v>
      </c>
      <c r="C43" s="29" t="s">
        <v>142</v>
      </c>
      <c r="D43" s="23" t="s">
        <v>37</v>
      </c>
      <c r="E43" s="2">
        <v>46147</v>
      </c>
      <c r="F43" s="2" t="s">
        <v>73</v>
      </c>
      <c r="G43" s="2" t="s">
        <v>73</v>
      </c>
      <c r="H43" s="23" t="s">
        <v>26</v>
      </c>
      <c r="I43" s="12">
        <f>SUM(J43:M43)</f>
        <v>3</v>
      </c>
      <c r="J43" s="12"/>
      <c r="K43" s="12"/>
      <c r="L43" s="12"/>
      <c r="M43" s="12">
        <v>3</v>
      </c>
    </row>
    <row r="44" spans="1:13" x14ac:dyDescent="0.25">
      <c r="A44">
        <v>36</v>
      </c>
      <c r="B44" t="s">
        <v>75</v>
      </c>
      <c r="C44" s="27" t="s">
        <v>143</v>
      </c>
      <c r="D44" s="23" t="s">
        <v>37</v>
      </c>
      <c r="E44" s="2">
        <v>46147</v>
      </c>
      <c r="F44" s="2" t="s">
        <v>73</v>
      </c>
      <c r="G44" s="2" t="s">
        <v>73</v>
      </c>
      <c r="H44" s="23" t="s">
        <v>26</v>
      </c>
      <c r="I44" s="12">
        <f>SUM(J44:M44)</f>
        <v>2.15</v>
      </c>
      <c r="J44" s="12"/>
      <c r="K44" s="12"/>
      <c r="L44" s="12"/>
      <c r="M44" s="12">
        <v>2.15</v>
      </c>
    </row>
    <row r="45" spans="1:13" x14ac:dyDescent="0.25">
      <c r="A45">
        <v>37</v>
      </c>
      <c r="B45" t="s">
        <v>75</v>
      </c>
      <c r="C45" s="27" t="s">
        <v>144</v>
      </c>
      <c r="D45" s="23" t="s">
        <v>37</v>
      </c>
      <c r="E45" s="2">
        <v>46147</v>
      </c>
      <c r="F45" s="2" t="s">
        <v>73</v>
      </c>
      <c r="G45" s="2" t="s">
        <v>73</v>
      </c>
      <c r="H45" s="23" t="s">
        <v>26</v>
      </c>
      <c r="I45" s="12">
        <f>SUM(J45:M45)</f>
        <v>2.15</v>
      </c>
      <c r="J45" s="12"/>
      <c r="K45" s="12"/>
      <c r="L45" s="12"/>
      <c r="M45" s="12">
        <v>2.15</v>
      </c>
    </row>
    <row r="46" spans="1:13" x14ac:dyDescent="0.25">
      <c r="A46">
        <v>38</v>
      </c>
      <c r="B46" t="s">
        <v>75</v>
      </c>
      <c r="C46" s="28" t="s">
        <v>145</v>
      </c>
      <c r="D46" s="23" t="s">
        <v>37</v>
      </c>
      <c r="E46" s="2">
        <v>46147</v>
      </c>
      <c r="F46" s="2" t="s">
        <v>73</v>
      </c>
      <c r="G46" s="2" t="s">
        <v>73</v>
      </c>
      <c r="H46" s="23" t="s">
        <v>26</v>
      </c>
      <c r="I46" s="12">
        <f>SUM(J46:M46)</f>
        <v>4</v>
      </c>
      <c r="L46" s="12"/>
      <c r="M46" s="12">
        <v>4</v>
      </c>
    </row>
    <row r="47" spans="1:13" x14ac:dyDescent="0.25">
      <c r="A47">
        <v>39</v>
      </c>
      <c r="B47" t="s">
        <v>75</v>
      </c>
      <c r="C47" s="27" t="s">
        <v>146</v>
      </c>
      <c r="D47" s="23" t="s">
        <v>37</v>
      </c>
      <c r="E47" s="2">
        <v>46147</v>
      </c>
      <c r="F47" s="2" t="s">
        <v>73</v>
      </c>
      <c r="G47" s="2" t="s">
        <v>73</v>
      </c>
      <c r="H47" s="23" t="s">
        <v>26</v>
      </c>
      <c r="I47" s="12">
        <f>SUM(J47:M47)</f>
        <v>3</v>
      </c>
      <c r="L47" s="12"/>
      <c r="M47" s="12">
        <v>3</v>
      </c>
    </row>
    <row r="48" spans="1:13" x14ac:dyDescent="0.25">
      <c r="A48">
        <v>40</v>
      </c>
      <c r="B48" t="s">
        <v>75</v>
      </c>
      <c r="C48" s="27" t="s">
        <v>147</v>
      </c>
      <c r="D48" s="23" t="s">
        <v>37</v>
      </c>
      <c r="E48" s="2">
        <v>46147</v>
      </c>
      <c r="F48" s="2" t="s">
        <v>73</v>
      </c>
      <c r="G48" s="2" t="s">
        <v>73</v>
      </c>
      <c r="H48" s="23" t="s">
        <v>26</v>
      </c>
      <c r="I48" s="12">
        <f>SUM(J48:M48)</f>
        <v>2</v>
      </c>
      <c r="L48" s="12"/>
      <c r="M48" s="12">
        <v>2</v>
      </c>
    </row>
    <row r="49" spans="1:13" x14ac:dyDescent="0.25">
      <c r="A49">
        <v>41</v>
      </c>
      <c r="B49" t="s">
        <v>75</v>
      </c>
      <c r="C49" s="27" t="s">
        <v>148</v>
      </c>
      <c r="D49" s="23" t="s">
        <v>37</v>
      </c>
      <c r="E49" s="2">
        <v>46147</v>
      </c>
      <c r="F49" s="2" t="s">
        <v>73</v>
      </c>
      <c r="G49" s="2" t="s">
        <v>73</v>
      </c>
      <c r="H49" s="23" t="s">
        <v>26</v>
      </c>
      <c r="I49" s="12">
        <f>SUM(J49:M49)</f>
        <v>3</v>
      </c>
      <c r="L49" s="12">
        <v>0</v>
      </c>
      <c r="M49" s="12">
        <v>3</v>
      </c>
    </row>
    <row r="50" spans="1:13" x14ac:dyDescent="0.25">
      <c r="A50">
        <v>42</v>
      </c>
      <c r="B50" t="s">
        <v>75</v>
      </c>
      <c r="C50" s="28" t="s">
        <v>149</v>
      </c>
      <c r="D50" s="23" t="s">
        <v>37</v>
      </c>
      <c r="E50" s="2">
        <v>46147</v>
      </c>
      <c r="F50" s="2" t="s">
        <v>73</v>
      </c>
      <c r="G50" s="2" t="s">
        <v>73</v>
      </c>
      <c r="H50" s="23" t="s">
        <v>26</v>
      </c>
      <c r="I50" s="12">
        <f>SUM(J50:M50)</f>
        <v>1.5</v>
      </c>
      <c r="L50" s="12">
        <v>0</v>
      </c>
      <c r="M50" s="12">
        <v>1.5</v>
      </c>
    </row>
    <row r="51" spans="1:13" x14ac:dyDescent="0.25">
      <c r="A51">
        <v>43</v>
      </c>
      <c r="B51" t="s">
        <v>75</v>
      </c>
      <c r="C51" s="27" t="s">
        <v>150</v>
      </c>
      <c r="D51" s="23" t="s">
        <v>37</v>
      </c>
      <c r="E51" s="2">
        <v>46147</v>
      </c>
      <c r="F51" s="2" t="s">
        <v>73</v>
      </c>
      <c r="G51" s="2" t="s">
        <v>73</v>
      </c>
      <c r="H51" s="23" t="s">
        <v>26</v>
      </c>
      <c r="I51" s="12">
        <f>SUM(J51:M51)</f>
        <v>2.5</v>
      </c>
      <c r="L51" s="12"/>
      <c r="M51" s="12">
        <v>2.5</v>
      </c>
    </row>
    <row r="52" spans="1:13" x14ac:dyDescent="0.25">
      <c r="A52">
        <v>44</v>
      </c>
      <c r="B52" t="s">
        <v>75</v>
      </c>
      <c r="C52" s="30" t="s">
        <v>151</v>
      </c>
      <c r="D52" s="23" t="s">
        <v>37</v>
      </c>
      <c r="E52" s="2">
        <v>46147</v>
      </c>
      <c r="F52" s="2" t="s">
        <v>73</v>
      </c>
      <c r="G52" s="2" t="s">
        <v>73</v>
      </c>
      <c r="H52" s="23" t="s">
        <v>26</v>
      </c>
      <c r="I52" s="12">
        <f>SUM(J52:M52)</f>
        <v>2.5</v>
      </c>
      <c r="L52" s="12"/>
      <c r="M52" s="12">
        <v>2.5</v>
      </c>
    </row>
    <row r="53" spans="1:13" x14ac:dyDescent="0.25">
      <c r="A53">
        <v>45</v>
      </c>
      <c r="B53" t="s">
        <v>75</v>
      </c>
      <c r="C53" s="27" t="s">
        <v>152</v>
      </c>
      <c r="D53" s="23" t="s">
        <v>37</v>
      </c>
      <c r="E53" s="2">
        <v>46147</v>
      </c>
      <c r="F53" s="2" t="s">
        <v>73</v>
      </c>
      <c r="G53" s="2" t="s">
        <v>73</v>
      </c>
      <c r="H53" s="23" t="s">
        <v>26</v>
      </c>
      <c r="I53" s="12">
        <f>SUM(J53:M53)</f>
        <v>2.5</v>
      </c>
      <c r="L53" s="12"/>
      <c r="M53" s="12">
        <v>2.5</v>
      </c>
    </row>
    <row r="54" spans="1:13" x14ac:dyDescent="0.25">
      <c r="A54">
        <v>46</v>
      </c>
      <c r="B54" t="s">
        <v>75</v>
      </c>
      <c r="C54" s="27" t="s">
        <v>153</v>
      </c>
      <c r="D54" s="23" t="s">
        <v>37</v>
      </c>
      <c r="E54" s="2">
        <v>46147</v>
      </c>
      <c r="F54" s="2" t="s">
        <v>73</v>
      </c>
      <c r="G54" s="2" t="s">
        <v>73</v>
      </c>
      <c r="H54" s="23" t="s">
        <v>26</v>
      </c>
      <c r="I54" s="12">
        <f>SUM(J54:M54)</f>
        <v>2.5</v>
      </c>
      <c r="L54" s="12"/>
      <c r="M54" s="12">
        <v>2.5</v>
      </c>
    </row>
    <row r="55" spans="1:13" x14ac:dyDescent="0.25">
      <c r="A55">
        <v>47</v>
      </c>
      <c r="B55" t="s">
        <v>75</v>
      </c>
      <c r="C55" s="27" t="s">
        <v>154</v>
      </c>
      <c r="D55" s="23" t="s">
        <v>37</v>
      </c>
      <c r="E55" s="2">
        <v>46147</v>
      </c>
      <c r="F55" s="2" t="s">
        <v>73</v>
      </c>
      <c r="G55" s="2" t="s">
        <v>73</v>
      </c>
      <c r="H55" s="23" t="s">
        <v>26</v>
      </c>
      <c r="I55" s="12">
        <f>SUM(J55:M55)</f>
        <v>2</v>
      </c>
      <c r="M55" s="12">
        <v>2</v>
      </c>
    </row>
    <row r="56" spans="1:13" x14ac:dyDescent="0.25">
      <c r="A56">
        <v>48</v>
      </c>
      <c r="B56" t="s">
        <v>75</v>
      </c>
      <c r="C56" s="27" t="s">
        <v>72</v>
      </c>
      <c r="D56" s="23" t="s">
        <v>37</v>
      </c>
      <c r="E56" s="2">
        <v>46147</v>
      </c>
      <c r="F56" s="2" t="s">
        <v>73</v>
      </c>
      <c r="G56" s="2" t="s">
        <v>73</v>
      </c>
      <c r="H56" s="23" t="s">
        <v>26</v>
      </c>
      <c r="I56" s="12">
        <f>SUM(J56:M56)</f>
        <v>19.2</v>
      </c>
      <c r="K56">
        <v>8</v>
      </c>
      <c r="L56">
        <v>6</v>
      </c>
      <c r="M56" s="12">
        <v>5.2</v>
      </c>
    </row>
    <row r="57" spans="1:13" x14ac:dyDescent="0.25">
      <c r="D57" s="23"/>
      <c r="E57" s="2"/>
      <c r="F57" s="2"/>
      <c r="G57" s="2"/>
      <c r="H57" s="23"/>
      <c r="I57" s="12"/>
    </row>
    <row r="58" spans="1:13" x14ac:dyDescent="0.25">
      <c r="D58" s="23"/>
      <c r="E58" s="2"/>
      <c r="F58" s="2"/>
      <c r="G58" s="2"/>
      <c r="H58" s="23"/>
      <c r="I58" s="12"/>
    </row>
    <row r="59" spans="1:13" ht="15.75" thickBot="1" x14ac:dyDescent="0.3">
      <c r="A59" s="11" t="s">
        <v>15</v>
      </c>
      <c r="B59" s="8"/>
      <c r="C59" s="8"/>
      <c r="D59" s="8"/>
      <c r="E59" s="8"/>
      <c r="F59" s="8"/>
      <c r="G59" s="8"/>
      <c r="H59" s="8"/>
      <c r="I59" s="13">
        <f>SUM(I8:I55)</f>
        <v>134</v>
      </c>
      <c r="J59" s="13">
        <f>SUM(J8:J57)</f>
        <v>38.799999999999997</v>
      </c>
      <c r="K59" s="13">
        <f>SUM(K8:K57)</f>
        <v>38.75</v>
      </c>
      <c r="L59" s="13">
        <f>SUM(L8:L57)</f>
        <v>37.65</v>
      </c>
      <c r="M59" s="13">
        <f>SUM(M8:M57)</f>
        <v>38</v>
      </c>
    </row>
    <row r="60" spans="1:13" ht="15.75" thickTop="1" x14ac:dyDescent="0.25">
      <c r="I60" s="12"/>
      <c r="J60" s="12"/>
      <c r="K60" s="12"/>
      <c r="L60" s="12"/>
    </row>
    <row r="61" spans="1:13" x14ac:dyDescent="0.25">
      <c r="A61" s="1" t="s">
        <v>16</v>
      </c>
      <c r="I61" s="12"/>
      <c r="J61" s="12"/>
      <c r="K61" s="12"/>
      <c r="L61" s="12"/>
    </row>
    <row r="62" spans="1:13" x14ac:dyDescent="0.25">
      <c r="B62" t="s">
        <v>17</v>
      </c>
      <c r="I62" s="12">
        <f>SUM(J62:M62)</f>
        <v>8</v>
      </c>
      <c r="J62" s="12">
        <v>2</v>
      </c>
      <c r="K62" s="12">
        <v>2</v>
      </c>
      <c r="L62" s="12">
        <v>2</v>
      </c>
      <c r="M62">
        <v>2</v>
      </c>
    </row>
    <row r="63" spans="1:13" x14ac:dyDescent="0.25">
      <c r="B63" t="s">
        <v>18</v>
      </c>
      <c r="I63" s="12">
        <f t="shared" ref="I63:I65" si="0">SUM(J63:J63)</f>
        <v>0</v>
      </c>
      <c r="J63" s="12"/>
      <c r="K63" s="12"/>
      <c r="L63" s="12"/>
    </row>
    <row r="64" spans="1:13" x14ac:dyDescent="0.25">
      <c r="B64" t="s">
        <v>19</v>
      </c>
      <c r="I64" s="12">
        <f>SUM(J64:M64)</f>
        <v>0</v>
      </c>
      <c r="J64" s="12">
        <v>0</v>
      </c>
      <c r="K64" s="12"/>
      <c r="L64" s="12"/>
    </row>
    <row r="65" spans="1:13" x14ac:dyDescent="0.25">
      <c r="B65" t="s">
        <v>20</v>
      </c>
      <c r="I65" s="12">
        <f t="shared" si="0"/>
        <v>0</v>
      </c>
      <c r="J65" s="12"/>
      <c r="K65" s="12"/>
      <c r="L65" s="12"/>
    </row>
    <row r="66" spans="1:13" x14ac:dyDescent="0.25">
      <c r="B66" t="s">
        <v>21</v>
      </c>
      <c r="I66" s="12"/>
      <c r="J66" s="12"/>
      <c r="K66" s="12"/>
      <c r="L66" s="12"/>
    </row>
    <row r="68" spans="1:13" ht="15.75" thickBot="1" x14ac:dyDescent="0.3">
      <c r="A68" s="11" t="s">
        <v>22</v>
      </c>
      <c r="B68" s="8"/>
      <c r="C68" s="8"/>
      <c r="D68" s="8"/>
      <c r="E68" s="8"/>
      <c r="F68" s="8"/>
      <c r="G68" s="8"/>
      <c r="H68" s="8"/>
      <c r="I68" s="13">
        <f>SUM(I62:I67)</f>
        <v>8</v>
      </c>
      <c r="J68" s="13">
        <f>SUM(J62:J67)</f>
        <v>2</v>
      </c>
      <c r="K68" s="13">
        <f t="shared" ref="K68:M68" si="1">SUM(K62:K67)</f>
        <v>2</v>
      </c>
      <c r="L68" s="13">
        <f t="shared" si="1"/>
        <v>2</v>
      </c>
      <c r="M68" s="13">
        <f t="shared" si="1"/>
        <v>2</v>
      </c>
    </row>
    <row r="69" spans="1:13" ht="15.75" thickTop="1" x14ac:dyDescent="0.25">
      <c r="I69" s="12"/>
      <c r="J69" s="12"/>
      <c r="K69" s="12"/>
      <c r="L69" s="12"/>
    </row>
    <row r="70" spans="1:13" ht="15.75" thickBot="1" x14ac:dyDescent="0.3">
      <c r="A70" s="11" t="s">
        <v>23</v>
      </c>
      <c r="B70" s="8"/>
      <c r="C70" s="8"/>
      <c r="D70" s="8"/>
      <c r="E70" s="8"/>
      <c r="F70" s="8"/>
      <c r="G70" s="8"/>
      <c r="H70" s="8"/>
      <c r="I70" s="13">
        <f>+I68+I59</f>
        <v>142</v>
      </c>
      <c r="J70" s="13">
        <f t="shared" ref="J70:L70" si="2">+J68+J59</f>
        <v>40.799999999999997</v>
      </c>
      <c r="K70" s="13">
        <f t="shared" si="2"/>
        <v>40.75</v>
      </c>
      <c r="L70" s="13">
        <f t="shared" si="2"/>
        <v>39.65</v>
      </c>
      <c r="M70" s="13">
        <f>+M68+M59</f>
        <v>40</v>
      </c>
    </row>
    <row r="71" spans="1:13" ht="15.75" thickTop="1" x14ac:dyDescent="0.25"/>
    <row r="73" spans="1:13" ht="15.75" thickBot="1" x14ac:dyDescent="0.3">
      <c r="A73" s="11" t="s">
        <v>24</v>
      </c>
      <c r="B73" s="8"/>
      <c r="C73" s="8"/>
      <c r="D73" s="8"/>
      <c r="E73" s="8"/>
      <c r="F73" s="8"/>
      <c r="G73" s="8"/>
      <c r="H73" s="8"/>
      <c r="I73" s="13">
        <f>+I70+I62</f>
        <v>150</v>
      </c>
      <c r="J73" s="13">
        <v>40</v>
      </c>
      <c r="K73" s="13">
        <v>40</v>
      </c>
      <c r="L73" s="13">
        <v>40</v>
      </c>
      <c r="M73" s="13">
        <v>40</v>
      </c>
    </row>
    <row r="74" spans="1:13" ht="16.5" thickTop="1" thickBot="1" x14ac:dyDescent="0.3">
      <c r="A74" s="11" t="s">
        <v>25</v>
      </c>
      <c r="B74" s="8"/>
      <c r="C74" s="8"/>
      <c r="D74" s="8"/>
      <c r="E74" s="8"/>
      <c r="F74" s="8"/>
      <c r="G74" s="8"/>
      <c r="H74" s="8"/>
      <c r="I74" s="13"/>
      <c r="J74" s="13">
        <f t="shared" ref="J74" si="3">+J73-J70</f>
        <v>-0.79999999999999716</v>
      </c>
      <c r="K74" s="13"/>
      <c r="L74" s="13"/>
      <c r="M74" s="13">
        <f>+M73-M70</f>
        <v>0</v>
      </c>
    </row>
    <row r="75" spans="1:13" ht="15.75" thickTop="1" x14ac:dyDescent="0.25"/>
  </sheetData>
  <protectedRanges>
    <protectedRange sqref="C40:C58 A9:A58 E57:E58 A8:L8 M30:M42 J40:L40 N29:XFD44 K9:L12 J13:L24 G9:I58 J45:XFD58 A62:XFD67 M8:XFD28" name="Range1"/>
    <protectedRange sqref="D9:D58" name="Range1_2"/>
    <protectedRange sqref="E9:E56 F9:F58" name="Range1_3"/>
    <protectedRange sqref="C9:C11" name="Range1_4"/>
    <protectedRange sqref="B9:B58" name="Range1_1_1"/>
    <protectedRange sqref="C12" name="Range1_1_2"/>
    <protectedRange sqref="C15:C39" name="Range1_5"/>
    <protectedRange sqref="J25:L28 J9:J12" name="Range1_9"/>
    <protectedRange sqref="J41:L44 M29 J29:L39 M43:M44" name="Range1_10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H9:H58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workbookViewId="0">
      <selection activeCell="C7" sqref="C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1" t="s">
        <v>35</v>
      </c>
      <c r="C2" s="21" t="s">
        <v>40</v>
      </c>
    </row>
    <row r="3" spans="2:3" x14ac:dyDescent="0.25">
      <c r="B3" s="18" t="s">
        <v>36</v>
      </c>
      <c r="C3" s="19" t="s">
        <v>41</v>
      </c>
    </row>
    <row r="4" spans="2:3" x14ac:dyDescent="0.25">
      <c r="B4" s="18" t="s">
        <v>42</v>
      </c>
      <c r="C4" s="19" t="s">
        <v>43</v>
      </c>
    </row>
    <row r="5" spans="2:3" x14ac:dyDescent="0.25">
      <c r="B5" s="18" t="s">
        <v>44</v>
      </c>
      <c r="C5" s="19" t="s">
        <v>45</v>
      </c>
    </row>
    <row r="6" spans="2:3" x14ac:dyDescent="0.25">
      <c r="B6" s="18" t="s">
        <v>37</v>
      </c>
      <c r="C6" s="19" t="s">
        <v>46</v>
      </c>
    </row>
    <row r="7" spans="2:3" x14ac:dyDescent="0.25">
      <c r="B7" s="18" t="s">
        <v>68</v>
      </c>
      <c r="C7" s="19" t="s">
        <v>69</v>
      </c>
    </row>
    <row r="8" spans="2:3" x14ac:dyDescent="0.25">
      <c r="B8" s="18" t="s">
        <v>47</v>
      </c>
      <c r="C8" s="19" t="s">
        <v>48</v>
      </c>
    </row>
    <row r="9" spans="2:3" x14ac:dyDescent="0.25">
      <c r="B9" s="18" t="s">
        <v>38</v>
      </c>
      <c r="C9" s="19" t="s">
        <v>49</v>
      </c>
    </row>
    <row r="10" spans="2:3" x14ac:dyDescent="0.25">
      <c r="B10" s="18" t="s">
        <v>39</v>
      </c>
      <c r="C10" s="19" t="s">
        <v>50</v>
      </c>
    </row>
    <row r="11" spans="2:3" x14ac:dyDescent="0.25">
      <c r="B11" s="18" t="s">
        <v>51</v>
      </c>
      <c r="C11" s="19" t="s">
        <v>52</v>
      </c>
    </row>
    <row r="14" spans="2:3" ht="16.5" x14ac:dyDescent="0.25">
      <c r="B14" s="21" t="s">
        <v>53</v>
      </c>
      <c r="C14" s="21" t="s">
        <v>40</v>
      </c>
    </row>
    <row r="15" spans="2:3" x14ac:dyDescent="0.25">
      <c r="B15" s="20" t="s">
        <v>26</v>
      </c>
      <c r="C15" s="19" t="s">
        <v>54</v>
      </c>
    </row>
    <row r="16" spans="2:3" x14ac:dyDescent="0.25">
      <c r="B16" s="20" t="s">
        <v>55</v>
      </c>
      <c r="C16" s="19" t="s">
        <v>56</v>
      </c>
    </row>
    <row r="17" spans="2:3" x14ac:dyDescent="0.25">
      <c r="B17" s="20" t="s">
        <v>34</v>
      </c>
      <c r="C17" s="19" t="s">
        <v>57</v>
      </c>
    </row>
    <row r="18" spans="2:3" x14ac:dyDescent="0.25">
      <c r="B18" s="20" t="s">
        <v>14</v>
      </c>
      <c r="C18" s="19" t="s">
        <v>58</v>
      </c>
    </row>
    <row r="19" spans="2:3" x14ac:dyDescent="0.25">
      <c r="B19" s="20" t="s">
        <v>27</v>
      </c>
      <c r="C19" s="19" t="s">
        <v>59</v>
      </c>
    </row>
    <row r="20" spans="2:3" x14ac:dyDescent="0.25">
      <c r="B20" s="20" t="s">
        <v>28</v>
      </c>
      <c r="C20" s="19" t="s">
        <v>60</v>
      </c>
    </row>
    <row r="21" spans="2:3" x14ac:dyDescent="0.25">
      <c r="B21" s="20" t="s">
        <v>61</v>
      </c>
      <c r="C21" s="19" t="s">
        <v>62</v>
      </c>
    </row>
    <row r="22" spans="2:3" x14ac:dyDescent="0.25">
      <c r="B22" s="20" t="s">
        <v>33</v>
      </c>
      <c r="C22" s="19" t="s">
        <v>63</v>
      </c>
    </row>
  </sheetData>
  <dataValidations count="1">
    <dataValidation type="list" allowBlank="1" showInputMessage="1" showErrorMessage="1" sqref="D5" xr:uid="{C3522EB4-A780-4446-9BCB-37941B8DED5A}">
      <formula1>$B$3:$B$11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5" customFormat="1" ht="16.5" thickBot="1" x14ac:dyDescent="0.3">
      <c r="A1" s="17" t="s">
        <v>29</v>
      </c>
    </row>
    <row r="2" spans="1:1" s="15" customFormat="1" ht="15.75" x14ac:dyDescent="0.25">
      <c r="A2" s="16"/>
    </row>
    <row r="3" spans="1:1" s="15" customFormat="1" ht="15.75" x14ac:dyDescent="0.25">
      <c r="A3" s="14" t="s">
        <v>66</v>
      </c>
    </row>
    <row r="4" spans="1:1" s="15" customFormat="1" ht="15.75" x14ac:dyDescent="0.25">
      <c r="A4" s="16"/>
    </row>
    <row r="5" spans="1:1" s="15" customFormat="1" ht="15.75" x14ac:dyDescent="0.25">
      <c r="A5" s="16"/>
    </row>
    <row r="6" spans="1:1" s="15" customFormat="1" ht="15.75" x14ac:dyDescent="0.25">
      <c r="A6" s="16"/>
    </row>
    <row r="7" spans="1:1" ht="15.75" x14ac:dyDescent="0.25">
      <c r="A7" s="14" t="s">
        <v>30</v>
      </c>
    </row>
    <row r="8" spans="1:1" ht="15.75" x14ac:dyDescent="0.25">
      <c r="A8" s="14" t="s">
        <v>67</v>
      </c>
    </row>
    <row r="9" spans="1:1" ht="15.75" x14ac:dyDescent="0.25">
      <c r="A9" s="14" t="s">
        <v>65</v>
      </c>
    </row>
    <row r="10" spans="1:1" ht="15.75" x14ac:dyDescent="0.25">
      <c r="A10" s="14" t="s">
        <v>31</v>
      </c>
    </row>
    <row r="11" spans="1:1" ht="15.75" x14ac:dyDescent="0.25">
      <c r="A11" s="14" t="s">
        <v>32</v>
      </c>
    </row>
    <row r="12" spans="1:1" ht="15.75" x14ac:dyDescent="0.25">
      <c r="A12" s="14" t="s">
        <v>64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CF9A-DE25-40B1-86F8-5ED604141077}">
  <dimension ref="A1:B31"/>
  <sheetViews>
    <sheetView topLeftCell="A13" workbookViewId="0">
      <selection activeCell="B24" sqref="B24"/>
    </sheetView>
  </sheetViews>
  <sheetFormatPr defaultRowHeight="15" x14ac:dyDescent="0.25"/>
  <cols>
    <col min="1" max="1" width="6" bestFit="1" customWidth="1"/>
    <col min="2" max="2" width="39.85546875" bestFit="1" customWidth="1"/>
  </cols>
  <sheetData>
    <row r="1" spans="1:2" x14ac:dyDescent="0.25">
      <c r="A1" s="25" t="s">
        <v>76</v>
      </c>
      <c r="B1" s="25" t="s">
        <v>6</v>
      </c>
    </row>
    <row r="2" spans="1:2" x14ac:dyDescent="0.25">
      <c r="A2" s="25">
        <v>1</v>
      </c>
      <c r="B2" s="26" t="s">
        <v>77</v>
      </c>
    </row>
    <row r="3" spans="1:2" x14ac:dyDescent="0.25">
      <c r="A3" s="25">
        <v>2</v>
      </c>
      <c r="B3" s="26" t="s">
        <v>78</v>
      </c>
    </row>
    <row r="4" spans="1:2" x14ac:dyDescent="0.25">
      <c r="A4" s="25">
        <v>3</v>
      </c>
      <c r="B4" s="26" t="s">
        <v>79</v>
      </c>
    </row>
    <row r="5" spans="1:2" x14ac:dyDescent="0.25">
      <c r="A5" s="25">
        <v>4</v>
      </c>
      <c r="B5" s="26" t="s">
        <v>80</v>
      </c>
    </row>
    <row r="6" spans="1:2" x14ac:dyDescent="0.25">
      <c r="A6" s="25">
        <v>5</v>
      </c>
      <c r="B6" s="26" t="s">
        <v>81</v>
      </c>
    </row>
    <row r="7" spans="1:2" x14ac:dyDescent="0.25">
      <c r="A7" s="25">
        <v>6</v>
      </c>
      <c r="B7" s="26" t="s">
        <v>82</v>
      </c>
    </row>
    <row r="8" spans="1:2" x14ac:dyDescent="0.25">
      <c r="A8" s="25">
        <v>7</v>
      </c>
      <c r="B8" s="26" t="s">
        <v>83</v>
      </c>
    </row>
    <row r="9" spans="1:2" x14ac:dyDescent="0.25">
      <c r="A9" s="25">
        <v>8</v>
      </c>
      <c r="B9" s="26" t="s">
        <v>84</v>
      </c>
    </row>
    <row r="10" spans="1:2" x14ac:dyDescent="0.25">
      <c r="A10" s="25">
        <v>9</v>
      </c>
      <c r="B10" s="26" t="s">
        <v>85</v>
      </c>
    </row>
    <row r="11" spans="1:2" x14ac:dyDescent="0.25">
      <c r="A11" s="25">
        <v>10</v>
      </c>
      <c r="B11" s="26" t="s">
        <v>86</v>
      </c>
    </row>
    <row r="12" spans="1:2" x14ac:dyDescent="0.25">
      <c r="A12" s="25">
        <v>11</v>
      </c>
      <c r="B12" s="26" t="s">
        <v>87</v>
      </c>
    </row>
    <row r="13" spans="1:2" x14ac:dyDescent="0.25">
      <c r="A13" s="25">
        <v>12</v>
      </c>
      <c r="B13" s="26" t="s">
        <v>88</v>
      </c>
    </row>
    <row r="14" spans="1:2" x14ac:dyDescent="0.25">
      <c r="A14" s="25">
        <v>13</v>
      </c>
      <c r="B14" s="26" t="s">
        <v>89</v>
      </c>
    </row>
    <row r="15" spans="1:2" x14ac:dyDescent="0.25">
      <c r="A15" s="25">
        <v>14</v>
      </c>
      <c r="B15" s="26" t="s">
        <v>90</v>
      </c>
    </row>
    <row r="16" spans="1:2" x14ac:dyDescent="0.25">
      <c r="A16" s="25">
        <v>15</v>
      </c>
      <c r="B16" s="26" t="s">
        <v>91</v>
      </c>
    </row>
    <row r="17" spans="1:2" x14ac:dyDescent="0.25">
      <c r="A17" s="25">
        <v>16</v>
      </c>
      <c r="B17" s="26" t="s">
        <v>92</v>
      </c>
    </row>
    <row r="18" spans="1:2" x14ac:dyDescent="0.25">
      <c r="A18" s="25">
        <v>17</v>
      </c>
      <c r="B18" s="26" t="s">
        <v>93</v>
      </c>
    </row>
    <row r="19" spans="1:2" x14ac:dyDescent="0.25">
      <c r="A19" s="25">
        <v>18</v>
      </c>
      <c r="B19" s="26" t="s">
        <v>94</v>
      </c>
    </row>
    <row r="20" spans="1:2" x14ac:dyDescent="0.25">
      <c r="A20" s="25">
        <v>19</v>
      </c>
      <c r="B20" s="26" t="s">
        <v>95</v>
      </c>
    </row>
    <row r="21" spans="1:2" x14ac:dyDescent="0.25">
      <c r="A21" s="25">
        <v>20</v>
      </c>
      <c r="B21" s="26" t="s">
        <v>96</v>
      </c>
    </row>
    <row r="22" spans="1:2" x14ac:dyDescent="0.25">
      <c r="A22" s="25">
        <v>21</v>
      </c>
      <c r="B22" s="26" t="s">
        <v>97</v>
      </c>
    </row>
    <row r="23" spans="1:2" x14ac:dyDescent="0.25">
      <c r="A23" s="25">
        <v>22</v>
      </c>
      <c r="B23" s="26" t="s">
        <v>98</v>
      </c>
    </row>
    <row r="24" spans="1:2" x14ac:dyDescent="0.25">
      <c r="A24" s="25">
        <v>23</v>
      </c>
      <c r="B24" s="26" t="s">
        <v>75</v>
      </c>
    </row>
    <row r="25" spans="1:2" x14ac:dyDescent="0.25">
      <c r="A25" s="25">
        <v>24</v>
      </c>
      <c r="B25" s="26" t="s">
        <v>99</v>
      </c>
    </row>
    <row r="26" spans="1:2" x14ac:dyDescent="0.25">
      <c r="A26" s="25">
        <v>25</v>
      </c>
      <c r="B26" s="26" t="s">
        <v>100</v>
      </c>
    </row>
    <row r="27" spans="1:2" x14ac:dyDescent="0.25">
      <c r="A27" s="25">
        <v>26</v>
      </c>
      <c r="B27" s="26" t="s">
        <v>101</v>
      </c>
    </row>
    <row r="28" spans="1:2" x14ac:dyDescent="0.25">
      <c r="A28" s="25">
        <v>27</v>
      </c>
      <c r="B28" s="26" t="s">
        <v>102</v>
      </c>
    </row>
    <row r="29" spans="1:2" x14ac:dyDescent="0.25">
      <c r="A29" s="25">
        <v>28</v>
      </c>
      <c r="B29" s="26" t="s">
        <v>103</v>
      </c>
    </row>
    <row r="30" spans="1:2" x14ac:dyDescent="0.25">
      <c r="A30" s="25">
        <v>29</v>
      </c>
      <c r="B30" s="26" t="s">
        <v>104</v>
      </c>
    </row>
    <row r="31" spans="1:2" x14ac:dyDescent="0.25">
      <c r="A31" s="25">
        <v>30</v>
      </c>
      <c r="B31" s="2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</vt:lpstr>
      <vt:lpstr>Status</vt:lpstr>
      <vt:lpstr>Instruction</vt:lpstr>
      <vt:lpstr>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Monali Shah</cp:lastModifiedBy>
  <cp:revision/>
  <dcterms:created xsi:type="dcterms:W3CDTF">2015-06-05T18:17:20Z</dcterms:created>
  <dcterms:modified xsi:type="dcterms:W3CDTF">2026-05-01T08:45:00Z</dcterms:modified>
  <cp:category/>
  <cp:contentStatus/>
</cp:coreProperties>
</file>