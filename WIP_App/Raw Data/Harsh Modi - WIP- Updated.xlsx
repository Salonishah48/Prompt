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Y:\Accounts WIP\Team Pragnesh Soni\"/>
    </mc:Choice>
  </mc:AlternateContent>
  <xr:revisionPtr revIDLastSave="0" documentId="13_ncr:1_{5B890991-E93C-445A-8D2B-30E94101BE37}" xr6:coauthVersionLast="47" xr6:coauthVersionMax="47" xr10:uidLastSave="{00000000-0000-0000-0000-000000000000}"/>
  <bookViews>
    <workbookView xWindow="-120" yWindow="-120" windowWidth="20730" windowHeight="11040" xr2:uid="{B02487C1-7B00-46FB-9FD9-7E848764AF91}"/>
  </bookViews>
  <sheets>
    <sheet name="WIP" sheetId="1" r:id="rId1"/>
    <sheet name="Status" sheetId="2" r:id="rId2"/>
    <sheet name="Instruction" sheetId="3" r:id="rId3"/>
  </sheets>
  <definedNames>
    <definedName name="_xlnm._FilterDatabase" localSheetId="0" hidden="1">WIP!$A$7:$M$58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2" i="1" l="1"/>
  <c r="K42" i="1"/>
  <c r="J42" i="1"/>
  <c r="I35" i="1"/>
  <c r="I36" i="1"/>
  <c r="I37" i="1"/>
  <c r="I38" i="1"/>
  <c r="I39" i="1"/>
  <c r="M51" i="1"/>
  <c r="M42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20" i="1"/>
  <c r="I19" i="1"/>
  <c r="I16" i="1"/>
  <c r="I18" i="1"/>
  <c r="I21" i="1"/>
  <c r="I17" i="1"/>
  <c r="I49" i="1" l="1"/>
  <c r="I13" i="1"/>
  <c r="I14" i="1"/>
  <c r="I12" i="1"/>
  <c r="I9" i="1"/>
  <c r="I15" i="1"/>
  <c r="I48" i="1"/>
  <c r="I47" i="1"/>
  <c r="I46" i="1"/>
  <c r="I45" i="1"/>
  <c r="I51" i="1" l="1"/>
  <c r="I10" i="1"/>
  <c r="I11" i="1"/>
  <c r="J51" i="1"/>
  <c r="I42" i="1" l="1"/>
  <c r="L51" i="1"/>
  <c r="K51" i="1"/>
  <c r="K6" i="1"/>
  <c r="L6" i="1" s="1"/>
  <c r="M6" i="1" s="1"/>
  <c r="M53" i="1" l="1"/>
  <c r="M57" i="1" s="1"/>
  <c r="J53" i="1"/>
  <c r="J57" i="1" s="1"/>
  <c r="K53" i="1"/>
  <c r="K57" i="1" s="1"/>
  <c r="L53" i="1"/>
  <c r="L57" i="1" s="1"/>
  <c r="I53" i="1"/>
</calcChain>
</file>

<file path=xl/sharedStrings.xml><?xml version="1.0" encoding="utf-8"?>
<sst xmlns="http://schemas.openxmlformats.org/spreadsheetml/2006/main" count="204" uniqueCount="108">
  <si>
    <t>Work in Progress Report</t>
  </si>
  <si>
    <t xml:space="preserve">Name: </t>
  </si>
  <si>
    <t>Title:</t>
  </si>
  <si>
    <t>Manager Name:</t>
  </si>
  <si>
    <t>Week starting on --&gt;&gt;</t>
  </si>
  <si>
    <t>Sr #</t>
  </si>
  <si>
    <t>Client Name</t>
  </si>
  <si>
    <t>Project (sub-client)</t>
  </si>
  <si>
    <t>Date in</t>
  </si>
  <si>
    <t>Internal due Date</t>
  </si>
  <si>
    <t>Completion date</t>
  </si>
  <si>
    <t>Status</t>
  </si>
  <si>
    <t>Hours of work</t>
  </si>
  <si>
    <t>Week 1</t>
  </si>
  <si>
    <t>Week 2</t>
  </si>
  <si>
    <t>Week 3</t>
  </si>
  <si>
    <t>Week 4</t>
  </si>
  <si>
    <t>In Preparation</t>
  </si>
  <si>
    <t>Total of Billable hours</t>
  </si>
  <si>
    <t>Non Billable hours</t>
  </si>
  <si>
    <t>Admin</t>
  </si>
  <si>
    <t>Management</t>
  </si>
  <si>
    <t>Training</t>
  </si>
  <si>
    <t>Leave</t>
  </si>
  <si>
    <t>Unassigned</t>
  </si>
  <si>
    <t>Total of non-billable</t>
  </si>
  <si>
    <t>Total Hours</t>
  </si>
  <si>
    <t>Weekly hours to be completed</t>
  </si>
  <si>
    <t>Available hours</t>
  </si>
  <si>
    <t>Not Started</t>
  </si>
  <si>
    <t>In Review</t>
  </si>
  <si>
    <t>Completed</t>
  </si>
  <si>
    <t>Points to be considered while updating the tracker</t>
  </si>
  <si>
    <t>Always use Sr. no. when inputting data (If there is no data, don't write sr. no).</t>
  </si>
  <si>
    <t>Don't leave any row blank in between (if require you can add a row in between)</t>
  </si>
  <si>
    <t>Don’t add or delete any column</t>
  </si>
  <si>
    <t>On Hold</t>
  </si>
  <si>
    <t>Ready to Work</t>
  </si>
  <si>
    <t>Work Item</t>
  </si>
  <si>
    <t>1099 Management</t>
  </si>
  <si>
    <t>Bookkeeping Management</t>
  </si>
  <si>
    <t>Payroll Management</t>
  </si>
  <si>
    <t>Sales Tax Management</t>
  </si>
  <si>
    <t>Purpose (Suggested Comment)</t>
  </si>
  <si>
    <t>Any work performed related to 1099, including calculation, filing, and W-9 updates.</t>
  </si>
  <si>
    <t>Accounts Payable / Receivable Management</t>
  </si>
  <si>
    <t>Invoice/Bill posting, payment processing, vendor reconciliation, and revenue reconciliation.</t>
  </si>
  <si>
    <t>Clean-up / Catch‑up Project Management</t>
  </si>
  <si>
    <t>Any accounting work performed apart from regular monthly bookkeeping.</t>
  </si>
  <si>
    <t>Weekly/Monthly/Quarterly bookkeeping activities.</t>
  </si>
  <si>
    <t>Month-End / Quarter-End Close Management</t>
  </si>
  <si>
    <t>Month-end/Quarter-end book review, financial statement preparation, and reporting.</t>
  </si>
  <si>
    <t>Payroll processing, working, posting, and reconciliation.</t>
  </si>
  <si>
    <t>Sales tax calculation and filing.</t>
  </si>
  <si>
    <t>Year-End / 13th Month Process Management</t>
  </si>
  <si>
    <t>Year-end finalization work, financial statement printing, and tax-to-book adjustments.</t>
  </si>
  <si>
    <t>Account Status</t>
  </si>
  <si>
    <t>Work is assigned but no action has been taken yet.</t>
  </si>
  <si>
    <t>Awaiting Documents / Information</t>
  </si>
  <si>
    <t>Pending required documents or information from the client, which is preventing progress on the task.</t>
  </si>
  <si>
    <t>All necessary documents and information have been received; the task is ready to begin.</t>
  </si>
  <si>
    <t>Work is currently in progress.</t>
  </si>
  <si>
    <t>Bookkeeping/Preparation work is completed and is under review.</t>
  </si>
  <si>
    <t>Task is fully completed (100%).</t>
  </si>
  <si>
    <t>Re-work as per Client Comment</t>
  </si>
  <si>
    <t>Performing corrections or updates based on client feedback or additional requirements received after submission.</t>
  </si>
  <si>
    <t>Work is put on hold as per client instruction until approval is received to restart.</t>
  </si>
  <si>
    <t>Please enter Client name and Project strictly as mention on ZOHO</t>
  </si>
  <si>
    <t>Work Item and Status (Yellow Highlighted) should be selected from drop down , do let us know if you need to add anything </t>
  </si>
  <si>
    <t>Please update below Information as per ZOHO only.</t>
  </si>
  <si>
    <t>Weeks should start from column "J6" - Don't change sequence (K6,L6,M6 will update automatically).</t>
  </si>
  <si>
    <t>Client Meetings and Communication</t>
  </si>
  <si>
    <t>Call with client</t>
  </si>
  <si>
    <t>Harsh Modi</t>
  </si>
  <si>
    <t>Semi Senior</t>
  </si>
  <si>
    <t>Fittest core</t>
  </si>
  <si>
    <t>Heat Miser Trucking</t>
  </si>
  <si>
    <t>Muy Good Boy</t>
  </si>
  <si>
    <t>Truk Stuf</t>
  </si>
  <si>
    <t>KTC LLC</t>
  </si>
  <si>
    <t>SonicBoom</t>
  </si>
  <si>
    <t>Strong Ridge</t>
  </si>
  <si>
    <t>Interactive Global Consultancy</t>
  </si>
  <si>
    <t>7G Wealth Management</t>
  </si>
  <si>
    <t>Do It Right Lawn Care</t>
  </si>
  <si>
    <t>The Simple Interface</t>
  </si>
  <si>
    <t>Browns Garage</t>
  </si>
  <si>
    <t>Baylen Consulting</t>
  </si>
  <si>
    <t>Drew Scrivner</t>
  </si>
  <si>
    <t>Foothill Montessori of Salt Lake</t>
  </si>
  <si>
    <t>Issy Living</t>
  </si>
  <si>
    <t>Jedi Living LLC</t>
  </si>
  <si>
    <t>Jedick Medical</t>
  </si>
  <si>
    <t>Loyalty Contracting and Restoration</t>
  </si>
  <si>
    <t>PPD Studio</t>
  </si>
  <si>
    <t>Sigma Influence Solutions</t>
  </si>
  <si>
    <t>Top A1 Contracting</t>
  </si>
  <si>
    <t>Ultraviolet Inc</t>
  </si>
  <si>
    <t>Western Sky Ranch</t>
  </si>
  <si>
    <t>Billable Hours</t>
  </si>
  <si>
    <t>Ultra Clean</t>
  </si>
  <si>
    <t>Neighbor Services</t>
  </si>
  <si>
    <t>Christy Shepherd Ervin</t>
  </si>
  <si>
    <t>Change Your Mind LLC</t>
  </si>
  <si>
    <t>Secure Medical Solutions</t>
  </si>
  <si>
    <t>Sun Smart of Dallas</t>
  </si>
  <si>
    <t>Sun Smart of Fort Worth</t>
  </si>
  <si>
    <t>Pragneshkumar Soni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</si>
</sst>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Aptos"/>
      <family val="2"/>
    </font>
    <font>
      <sz val="12"/>
      <color rgb="FF000000"/>
      <name val="Aptos"/>
      <family val="2"/>
    </font>
    <font>
      <b/>
      <sz val="11"/>
      <color theme="1"/>
      <name val="Segoe UI"/>
      <family val="2"/>
    </font>
    <font>
      <sz val="11"/>
      <color rgb="FFCD5937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32">
    <xf numFmtId="0" fontId="0" fillId="0" borderId="0" xfId="0"/>
    <xf numFmtId="0" fontId="1" fillId="0" borderId="0" xfId="0" applyFont="1"/>
    <xf numFmtId="1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right"/>
    </xf>
    <xf numFmtId="0" fontId="0" fillId="3" borderId="0" xfId="0" applyFill="1"/>
    <xf numFmtId="0" fontId="2" fillId="0" borderId="0" xfId="0" applyFont="1"/>
    <xf numFmtId="43" fontId="1" fillId="0" borderId="0" xfId="1" applyFont="1"/>
    <xf numFmtId="0" fontId="0" fillId="4" borderId="0" xfId="0" applyFill="1"/>
    <xf numFmtId="0" fontId="1" fillId="3" borderId="0" xfId="0" applyFont="1" applyFill="1"/>
    <xf numFmtId="43" fontId="0" fillId="0" borderId="0" xfId="1" applyFont="1"/>
    <xf numFmtId="43" fontId="1" fillId="0" borderId="1" xfId="1" applyFont="1" applyBorder="1"/>
    <xf numFmtId="0" fontId="5" fillId="0" borderId="0" xfId="0" applyFont="1" applyAlignment="1">
      <alignment horizontal="left" vertical="center"/>
    </xf>
    <xf numFmtId="0" fontId="0" fillId="0" borderId="0" xfId="0" applyAlignment="1">
      <alignment wrapText="1"/>
    </xf>
    <xf numFmtId="0" fontId="4" fillId="0" borderId="0" xfId="0" applyFont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1" fillId="0" borderId="3" xfId="0" applyFont="1" applyBorder="1"/>
    <xf numFmtId="0" fontId="0" fillId="0" borderId="3" xfId="0" applyBorder="1"/>
    <xf numFmtId="0" fontId="1" fillId="0" borderId="3" xfId="0" applyFont="1" applyBorder="1" applyAlignment="1">
      <alignment horizontal="left"/>
    </xf>
    <xf numFmtId="0" fontId="6" fillId="6" borderId="3" xfId="0" applyFont="1" applyFill="1" applyBorder="1" applyAlignment="1">
      <alignment horizontal="left" vertical="center" wrapText="1"/>
    </xf>
    <xf numFmtId="0" fontId="1" fillId="5" borderId="0" xfId="0" applyFont="1" applyFill="1" applyAlignment="1">
      <alignment horizontal="center" vertical="center" wrapText="1"/>
    </xf>
    <xf numFmtId="0" fontId="0" fillId="5" borderId="0" xfId="0" applyFill="1"/>
    <xf numFmtId="0" fontId="7" fillId="0" borderId="0" xfId="0" applyFont="1" applyAlignment="1">
      <alignment vertical="center" wrapText="1"/>
    </xf>
    <xf numFmtId="14" fontId="0" fillId="7" borderId="0" xfId="0" applyNumberFormat="1" applyFill="1"/>
    <xf numFmtId="0" fontId="8" fillId="0" borderId="0" xfId="0" applyFont="1"/>
    <xf numFmtId="0" fontId="9" fillId="0" borderId="0" xfId="0" applyFont="1"/>
    <xf numFmtId="0" fontId="9" fillId="5" borderId="0" xfId="0" applyFont="1" applyFill="1"/>
    <xf numFmtId="14" fontId="9" fillId="0" borderId="0" xfId="0" applyNumberFormat="1" applyFont="1"/>
    <xf numFmtId="43" fontId="0" fillId="0" borderId="0" xfId="1" applyFont="1" applyBorder="1"/>
    <xf numFmtId="0" fontId="10" fillId="0" borderId="0" xfId="0" applyFont="1"/>
    <xf numFmtId="0" fontId="1" fillId="0" borderId="0" xfId="0" applyFont="1" applyAlignment="1">
      <alignment horizontal="left" vertical="center"/>
    </xf>
    <xf numFmtId="2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3</xdr:row>
      <xdr:rowOff>47625</xdr:rowOff>
    </xdr:from>
    <xdr:to>
      <xdr:col>0</xdr:col>
      <xdr:colOff>3343730</xdr:colOff>
      <xdr:row>6</xdr:row>
      <xdr:rowOff>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63BCEF-AC95-4953-BDB7-7656B44AC2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" y="657225"/>
          <a:ext cx="3258005" cy="5525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8"/>
  <sheetViews>
    <sheetView tabSelected="1" topLeftCell="C1" workbookViewId="0">
      <pane ySplit="7" topLeftCell="A9" activePane="bottomLeft" state="frozen"/>
      <selection pane="bottomLeft" activeCell="K4" sqref="K4"/>
    </sheetView>
  </sheetViews>
  <sheetFormatPr defaultRowHeight="15" x14ac:dyDescent="0.25"/>
  <cols>
    <col min="1" max="1" width="24.5703125" bestFit="1" customWidth="1"/>
    <col min="2" max="2" width="39.7109375" bestFit="1" customWidth="1"/>
    <col min="3" max="3" width="29.28515625" bestFit="1" customWidth="1"/>
    <col min="4" max="4" width="31.85546875" customWidth="1"/>
    <col min="5" max="6" width="11.7109375" customWidth="1"/>
    <col min="7" max="7" width="13.140625" customWidth="1"/>
    <col min="8" max="8" width="17.5703125" customWidth="1"/>
    <col min="9" max="9" width="8.42578125" customWidth="1"/>
    <col min="10" max="12" width="10.7109375" bestFit="1" customWidth="1"/>
    <col min="13" max="13" width="10.7109375" customWidth="1"/>
  </cols>
  <sheetData>
    <row r="1" spans="1:13" x14ac:dyDescent="0.25">
      <c r="A1" s="1" t="s">
        <v>0</v>
      </c>
      <c r="H1" s="8"/>
    </row>
    <row r="2" spans="1:13" x14ac:dyDescent="0.25">
      <c r="A2" s="1" t="s">
        <v>1</v>
      </c>
      <c r="B2" s="24" t="s">
        <v>73</v>
      </c>
      <c r="C2" s="6"/>
      <c r="H2" s="1"/>
      <c r="I2" s="1"/>
      <c r="J2" s="7"/>
      <c r="K2" s="7"/>
      <c r="L2" s="7"/>
      <c r="M2" s="7"/>
    </row>
    <row r="3" spans="1:13" x14ac:dyDescent="0.25">
      <c r="A3" s="1" t="s">
        <v>2</v>
      </c>
      <c r="B3" s="24" t="s">
        <v>74</v>
      </c>
      <c r="C3" s="6"/>
      <c r="H3" s="1"/>
      <c r="I3" s="1"/>
      <c r="J3" s="7"/>
      <c r="K3" s="7"/>
      <c r="L3" s="7"/>
      <c r="M3" s="7"/>
    </row>
    <row r="4" spans="1:13" x14ac:dyDescent="0.25">
      <c r="A4" s="1" t="s">
        <v>3</v>
      </c>
      <c r="B4" s="24" t="s">
        <v>107</v>
      </c>
      <c r="C4" s="6"/>
      <c r="H4" s="1"/>
      <c r="I4" s="1"/>
      <c r="J4" s="7"/>
      <c r="K4" s="7"/>
      <c r="L4" s="7"/>
      <c r="M4" s="7"/>
    </row>
    <row r="5" spans="1:13" x14ac:dyDescent="0.25">
      <c r="A5" s="1"/>
      <c r="B5" s="6"/>
      <c r="C5" s="6"/>
    </row>
    <row r="6" spans="1:13" x14ac:dyDescent="0.25">
      <c r="I6" s="4" t="s">
        <v>4</v>
      </c>
      <c r="J6" s="23">
        <v>46146</v>
      </c>
      <c r="K6" s="2">
        <f>J6+7</f>
        <v>46153</v>
      </c>
      <c r="L6" s="2">
        <f>K6+7</f>
        <v>46160</v>
      </c>
      <c r="M6" s="2">
        <f>L6+7</f>
        <v>46167</v>
      </c>
    </row>
    <row r="7" spans="1:13" ht="30" x14ac:dyDescent="0.25">
      <c r="A7" s="3" t="s">
        <v>5</v>
      </c>
      <c r="B7" s="3" t="s">
        <v>6</v>
      </c>
      <c r="C7" s="3" t="s">
        <v>7</v>
      </c>
      <c r="D7" s="20" t="s">
        <v>38</v>
      </c>
      <c r="E7" s="3" t="s">
        <v>8</v>
      </c>
      <c r="F7" s="3" t="s">
        <v>9</v>
      </c>
      <c r="G7" s="3" t="s">
        <v>10</v>
      </c>
      <c r="H7" s="20" t="s">
        <v>11</v>
      </c>
      <c r="I7" s="3" t="s">
        <v>12</v>
      </c>
      <c r="J7" s="3" t="s">
        <v>13</v>
      </c>
      <c r="K7" s="3" t="s">
        <v>14</v>
      </c>
      <c r="L7" s="3" t="s">
        <v>15</v>
      </c>
      <c r="M7" s="3" t="s">
        <v>16</v>
      </c>
    </row>
    <row r="8" spans="1:13" x14ac:dyDescent="0.25">
      <c r="A8" s="30" t="s">
        <v>99</v>
      </c>
      <c r="B8" s="25"/>
      <c r="C8" s="29"/>
      <c r="D8" s="26"/>
      <c r="E8" s="27"/>
      <c r="F8" s="2"/>
      <c r="G8" s="2"/>
      <c r="H8" s="21"/>
      <c r="I8" s="28"/>
      <c r="J8" s="31"/>
      <c r="K8" s="10"/>
      <c r="L8" s="10"/>
    </row>
    <row r="9" spans="1:13" x14ac:dyDescent="0.25">
      <c r="A9">
        <v>1</v>
      </c>
      <c r="B9" s="25" t="s">
        <v>102</v>
      </c>
      <c r="C9" s="29" t="s">
        <v>20</v>
      </c>
      <c r="D9" s="26" t="s">
        <v>71</v>
      </c>
      <c r="E9" s="27">
        <v>46125</v>
      </c>
      <c r="F9" s="2"/>
      <c r="G9" s="2"/>
      <c r="H9" s="21" t="s">
        <v>29</v>
      </c>
      <c r="I9" s="28">
        <f t="shared" ref="I9:I39" si="0">SUM(J9:L9)</f>
        <v>4</v>
      </c>
      <c r="J9" s="31"/>
      <c r="K9" s="31">
        <v>4</v>
      </c>
      <c r="L9" s="10"/>
    </row>
    <row r="10" spans="1:13" x14ac:dyDescent="0.25">
      <c r="A10">
        <v>2</v>
      </c>
      <c r="B10" s="25" t="s">
        <v>102</v>
      </c>
      <c r="C10" s="25" t="s">
        <v>75</v>
      </c>
      <c r="D10" s="26" t="s">
        <v>40</v>
      </c>
      <c r="E10" s="27">
        <v>46125</v>
      </c>
      <c r="F10" s="2"/>
      <c r="G10" s="2"/>
      <c r="H10" s="21" t="s">
        <v>29</v>
      </c>
      <c r="I10" s="28">
        <f t="shared" si="0"/>
        <v>3</v>
      </c>
      <c r="J10" s="31">
        <v>3</v>
      </c>
      <c r="K10" s="31"/>
      <c r="L10" s="10"/>
    </row>
    <row r="11" spans="1:13" x14ac:dyDescent="0.25">
      <c r="A11">
        <v>3</v>
      </c>
      <c r="B11" s="25" t="s">
        <v>102</v>
      </c>
      <c r="C11" s="25" t="s">
        <v>76</v>
      </c>
      <c r="D11" s="26" t="s">
        <v>40</v>
      </c>
      <c r="E11" s="27">
        <v>46125</v>
      </c>
      <c r="F11" s="2"/>
      <c r="G11" s="2"/>
      <c r="H11" s="21" t="s">
        <v>29</v>
      </c>
      <c r="I11" s="28">
        <f t="shared" si="0"/>
        <v>3</v>
      </c>
      <c r="J11" s="31">
        <v>3</v>
      </c>
      <c r="K11" s="31"/>
      <c r="L11" s="10"/>
    </row>
    <row r="12" spans="1:13" x14ac:dyDescent="0.25">
      <c r="A12">
        <v>4</v>
      </c>
      <c r="B12" s="25" t="s">
        <v>102</v>
      </c>
      <c r="C12" s="29" t="s">
        <v>79</v>
      </c>
      <c r="D12" s="26" t="s">
        <v>47</v>
      </c>
      <c r="E12" s="27">
        <v>46125</v>
      </c>
      <c r="G12" s="2"/>
      <c r="H12" s="21" t="s">
        <v>29</v>
      </c>
      <c r="I12" s="28">
        <f t="shared" si="0"/>
        <v>3</v>
      </c>
      <c r="J12" s="31">
        <v>3</v>
      </c>
      <c r="K12" s="31"/>
      <c r="L12" s="10"/>
    </row>
    <row r="13" spans="1:13" x14ac:dyDescent="0.25">
      <c r="A13">
        <v>5</v>
      </c>
      <c r="B13" s="25" t="s">
        <v>102</v>
      </c>
      <c r="C13" s="25" t="s">
        <v>77</v>
      </c>
      <c r="D13" s="26" t="s">
        <v>40</v>
      </c>
      <c r="E13" s="27">
        <v>46125</v>
      </c>
      <c r="G13" s="2"/>
      <c r="H13" s="21" t="s">
        <v>29</v>
      </c>
      <c r="I13" s="28">
        <f t="shared" si="0"/>
        <v>3</v>
      </c>
      <c r="J13" s="31">
        <v>3</v>
      </c>
      <c r="K13" s="31"/>
      <c r="L13" s="10"/>
    </row>
    <row r="14" spans="1:13" x14ac:dyDescent="0.25">
      <c r="A14">
        <v>6</v>
      </c>
      <c r="B14" s="25" t="s">
        <v>102</v>
      </c>
      <c r="C14" s="29" t="s">
        <v>78</v>
      </c>
      <c r="D14" s="26" t="s">
        <v>40</v>
      </c>
      <c r="E14" s="27">
        <v>46125</v>
      </c>
      <c r="F14" s="2"/>
      <c r="G14" s="2"/>
      <c r="H14" s="21" t="s">
        <v>29</v>
      </c>
      <c r="I14" s="28">
        <f t="shared" si="0"/>
        <v>3</v>
      </c>
      <c r="J14" s="31">
        <v>3</v>
      </c>
      <c r="K14" s="31"/>
      <c r="L14" s="10"/>
    </row>
    <row r="15" spans="1:13" x14ac:dyDescent="0.25">
      <c r="A15">
        <v>7</v>
      </c>
      <c r="B15" s="25" t="s">
        <v>102</v>
      </c>
      <c r="C15" s="25" t="s">
        <v>80</v>
      </c>
      <c r="D15" s="26" t="s">
        <v>40</v>
      </c>
      <c r="E15" s="27">
        <v>46125</v>
      </c>
      <c r="F15" s="2"/>
      <c r="G15" s="2"/>
      <c r="H15" s="21" t="s">
        <v>29</v>
      </c>
      <c r="I15" s="28">
        <f t="shared" si="0"/>
        <v>3</v>
      </c>
      <c r="J15" s="31">
        <v>3</v>
      </c>
      <c r="K15" s="31"/>
    </row>
    <row r="16" spans="1:13" x14ac:dyDescent="0.25">
      <c r="A16">
        <v>8</v>
      </c>
      <c r="B16" s="25" t="s">
        <v>102</v>
      </c>
      <c r="C16" s="25" t="s">
        <v>83</v>
      </c>
      <c r="D16" s="26" t="s">
        <v>40</v>
      </c>
      <c r="E16" s="27">
        <v>46125</v>
      </c>
      <c r="H16" s="21" t="s">
        <v>29</v>
      </c>
      <c r="I16" s="28">
        <f t="shared" si="0"/>
        <v>3</v>
      </c>
      <c r="J16" s="31">
        <v>3</v>
      </c>
      <c r="K16" s="31"/>
    </row>
    <row r="17" spans="1:11" x14ac:dyDescent="0.25">
      <c r="A17">
        <v>9</v>
      </c>
      <c r="B17" s="25" t="s">
        <v>102</v>
      </c>
      <c r="C17" s="25" t="s">
        <v>86</v>
      </c>
      <c r="D17" s="26" t="s">
        <v>40</v>
      </c>
      <c r="E17" s="27">
        <v>46125</v>
      </c>
      <c r="H17" s="21" t="s">
        <v>29</v>
      </c>
      <c r="I17" s="28">
        <f t="shared" si="0"/>
        <v>5</v>
      </c>
      <c r="J17" s="31"/>
      <c r="K17" s="31">
        <v>5</v>
      </c>
    </row>
    <row r="18" spans="1:11" x14ac:dyDescent="0.25">
      <c r="A18">
        <v>10</v>
      </c>
      <c r="B18" s="25" t="s">
        <v>102</v>
      </c>
      <c r="C18" s="25" t="s">
        <v>84</v>
      </c>
      <c r="D18" s="26" t="s">
        <v>40</v>
      </c>
      <c r="E18" s="27">
        <v>46125</v>
      </c>
      <c r="H18" s="21" t="s">
        <v>29</v>
      </c>
      <c r="I18" s="28">
        <f t="shared" si="0"/>
        <v>3</v>
      </c>
      <c r="J18" s="31"/>
      <c r="K18" s="31">
        <v>3</v>
      </c>
    </row>
    <row r="19" spans="1:11" x14ac:dyDescent="0.25">
      <c r="A19">
        <v>11</v>
      </c>
      <c r="B19" s="25" t="s">
        <v>102</v>
      </c>
      <c r="C19" s="25" t="s">
        <v>82</v>
      </c>
      <c r="D19" s="26" t="s">
        <v>40</v>
      </c>
      <c r="E19" s="27">
        <v>46125</v>
      </c>
      <c r="H19" s="21" t="s">
        <v>29</v>
      </c>
      <c r="I19" s="28">
        <f t="shared" si="0"/>
        <v>3</v>
      </c>
      <c r="J19" s="31">
        <v>3</v>
      </c>
      <c r="K19" s="31"/>
    </row>
    <row r="20" spans="1:11" x14ac:dyDescent="0.25">
      <c r="A20">
        <v>12</v>
      </c>
      <c r="B20" s="25" t="s">
        <v>102</v>
      </c>
      <c r="C20" s="25" t="s">
        <v>81</v>
      </c>
      <c r="D20" s="26" t="s">
        <v>40</v>
      </c>
      <c r="E20" s="27">
        <v>46125</v>
      </c>
      <c r="H20" s="21" t="s">
        <v>29</v>
      </c>
      <c r="I20" s="28">
        <f t="shared" si="0"/>
        <v>3</v>
      </c>
      <c r="J20" s="31"/>
      <c r="K20" s="31">
        <v>3</v>
      </c>
    </row>
    <row r="21" spans="1:11" x14ac:dyDescent="0.25">
      <c r="A21">
        <v>13</v>
      </c>
      <c r="B21" s="25" t="s">
        <v>102</v>
      </c>
      <c r="C21" s="25" t="s">
        <v>85</v>
      </c>
      <c r="D21" s="26" t="s">
        <v>40</v>
      </c>
      <c r="E21" s="27">
        <v>46125</v>
      </c>
      <c r="H21" s="21" t="s">
        <v>29</v>
      </c>
      <c r="I21" s="28">
        <f t="shared" si="0"/>
        <v>3</v>
      </c>
      <c r="J21" s="31"/>
      <c r="K21" s="31">
        <v>3</v>
      </c>
    </row>
    <row r="22" spans="1:11" x14ac:dyDescent="0.25">
      <c r="A22">
        <v>14</v>
      </c>
      <c r="B22" s="25" t="s">
        <v>102</v>
      </c>
      <c r="C22" s="25" t="s">
        <v>87</v>
      </c>
      <c r="D22" s="26" t="s">
        <v>40</v>
      </c>
      <c r="E22" s="27">
        <v>46125</v>
      </c>
      <c r="H22" s="21" t="s">
        <v>29</v>
      </c>
      <c r="I22" s="28">
        <f t="shared" si="0"/>
        <v>4</v>
      </c>
      <c r="J22" s="31"/>
      <c r="K22" s="31">
        <v>4</v>
      </c>
    </row>
    <row r="23" spans="1:11" x14ac:dyDescent="0.25">
      <c r="A23">
        <v>15</v>
      </c>
      <c r="B23" s="25" t="s">
        <v>102</v>
      </c>
      <c r="C23" s="25" t="s">
        <v>88</v>
      </c>
      <c r="D23" s="26" t="s">
        <v>40</v>
      </c>
      <c r="E23" s="27">
        <v>46125</v>
      </c>
      <c r="H23" s="21" t="s">
        <v>29</v>
      </c>
      <c r="I23" s="28">
        <f t="shared" si="0"/>
        <v>3</v>
      </c>
      <c r="J23" s="31">
        <v>3</v>
      </c>
      <c r="K23" s="31"/>
    </row>
    <row r="24" spans="1:11" x14ac:dyDescent="0.25">
      <c r="A24">
        <v>16</v>
      </c>
      <c r="B24" s="25" t="s">
        <v>102</v>
      </c>
      <c r="C24" s="25" t="s">
        <v>89</v>
      </c>
      <c r="D24" s="26" t="s">
        <v>40</v>
      </c>
      <c r="E24" s="27">
        <v>46125</v>
      </c>
      <c r="H24" s="21" t="s">
        <v>29</v>
      </c>
      <c r="I24" s="28">
        <f t="shared" si="0"/>
        <v>3</v>
      </c>
      <c r="J24" s="31">
        <v>3</v>
      </c>
      <c r="K24" s="31"/>
    </row>
    <row r="25" spans="1:11" x14ac:dyDescent="0.25">
      <c r="A25">
        <v>17</v>
      </c>
      <c r="B25" s="25" t="s">
        <v>102</v>
      </c>
      <c r="C25" s="25" t="s">
        <v>90</v>
      </c>
      <c r="D25" s="26" t="s">
        <v>40</v>
      </c>
      <c r="E25" s="27">
        <v>46125</v>
      </c>
      <c r="H25" s="21" t="s">
        <v>29</v>
      </c>
      <c r="I25" s="28">
        <f t="shared" si="0"/>
        <v>3</v>
      </c>
      <c r="J25" s="31">
        <v>3</v>
      </c>
      <c r="K25" s="31"/>
    </row>
    <row r="26" spans="1:11" x14ac:dyDescent="0.25">
      <c r="A26">
        <v>18</v>
      </c>
      <c r="B26" s="25" t="s">
        <v>102</v>
      </c>
      <c r="C26" s="25" t="s">
        <v>91</v>
      </c>
      <c r="D26" s="26" t="s">
        <v>40</v>
      </c>
      <c r="E26" s="27">
        <v>46125</v>
      </c>
      <c r="H26" s="21" t="s">
        <v>29</v>
      </c>
      <c r="I26" s="28">
        <f t="shared" si="0"/>
        <v>3</v>
      </c>
      <c r="J26" s="31">
        <v>3</v>
      </c>
      <c r="K26" s="31"/>
    </row>
    <row r="27" spans="1:11" x14ac:dyDescent="0.25">
      <c r="A27">
        <v>19</v>
      </c>
      <c r="B27" s="25" t="s">
        <v>102</v>
      </c>
      <c r="C27" s="25" t="s">
        <v>92</v>
      </c>
      <c r="D27" s="26" t="s">
        <v>40</v>
      </c>
      <c r="E27" s="27">
        <v>46125</v>
      </c>
      <c r="H27" s="21" t="s">
        <v>29</v>
      </c>
      <c r="I27" s="28">
        <f t="shared" si="0"/>
        <v>3</v>
      </c>
      <c r="J27" s="31">
        <v>3</v>
      </c>
      <c r="K27" s="31"/>
    </row>
    <row r="28" spans="1:11" x14ac:dyDescent="0.25">
      <c r="A28">
        <v>20</v>
      </c>
      <c r="B28" s="25" t="s">
        <v>102</v>
      </c>
      <c r="C28" s="25" t="s">
        <v>93</v>
      </c>
      <c r="D28" s="26" t="s">
        <v>40</v>
      </c>
      <c r="E28" s="27">
        <v>46125</v>
      </c>
      <c r="H28" s="21" t="s">
        <v>29</v>
      </c>
      <c r="I28" s="28">
        <f t="shared" si="0"/>
        <v>0</v>
      </c>
      <c r="J28" s="31"/>
      <c r="K28" s="31"/>
    </row>
    <row r="29" spans="1:11" x14ac:dyDescent="0.25">
      <c r="A29">
        <v>21</v>
      </c>
      <c r="B29" s="25" t="s">
        <v>102</v>
      </c>
      <c r="C29" s="25" t="s">
        <v>94</v>
      </c>
      <c r="D29" s="26" t="s">
        <v>40</v>
      </c>
      <c r="E29" s="27">
        <v>46125</v>
      </c>
      <c r="H29" s="21" t="s">
        <v>29</v>
      </c>
      <c r="I29" s="28">
        <f t="shared" si="0"/>
        <v>0</v>
      </c>
      <c r="J29" s="31"/>
      <c r="K29" s="31"/>
    </row>
    <row r="30" spans="1:11" x14ac:dyDescent="0.25">
      <c r="A30">
        <v>22</v>
      </c>
      <c r="B30" s="25" t="s">
        <v>102</v>
      </c>
      <c r="C30" s="25" t="s">
        <v>95</v>
      </c>
      <c r="D30" s="26" t="s">
        <v>40</v>
      </c>
      <c r="E30" s="27">
        <v>46125</v>
      </c>
      <c r="H30" s="21" t="s">
        <v>29</v>
      </c>
      <c r="I30" s="28">
        <f t="shared" si="0"/>
        <v>0</v>
      </c>
      <c r="J30" s="31"/>
      <c r="K30" s="31"/>
    </row>
    <row r="31" spans="1:11" x14ac:dyDescent="0.25">
      <c r="A31">
        <v>23</v>
      </c>
      <c r="B31" s="25" t="s">
        <v>102</v>
      </c>
      <c r="C31" s="25" t="s">
        <v>96</v>
      </c>
      <c r="D31" s="26" t="s">
        <v>40</v>
      </c>
      <c r="E31" s="27">
        <v>46125</v>
      </c>
      <c r="H31" s="21" t="s">
        <v>29</v>
      </c>
      <c r="I31" s="28">
        <f t="shared" si="0"/>
        <v>5</v>
      </c>
      <c r="J31" s="31"/>
      <c r="K31" s="31">
        <v>5</v>
      </c>
    </row>
    <row r="32" spans="1:11" x14ac:dyDescent="0.25">
      <c r="A32">
        <v>24</v>
      </c>
      <c r="B32" s="25" t="s">
        <v>102</v>
      </c>
      <c r="C32" s="25" t="s">
        <v>100</v>
      </c>
      <c r="D32" s="26" t="s">
        <v>40</v>
      </c>
      <c r="E32" s="27">
        <v>46125</v>
      </c>
      <c r="H32" s="21" t="s">
        <v>29</v>
      </c>
      <c r="I32" s="28">
        <f t="shared" si="0"/>
        <v>4</v>
      </c>
      <c r="J32" s="31"/>
      <c r="K32" s="31">
        <v>4</v>
      </c>
    </row>
    <row r="33" spans="1:13" x14ac:dyDescent="0.25">
      <c r="A33">
        <v>25</v>
      </c>
      <c r="B33" s="25" t="s">
        <v>102</v>
      </c>
      <c r="C33" s="25" t="s">
        <v>97</v>
      </c>
      <c r="D33" s="26" t="s">
        <v>40</v>
      </c>
      <c r="E33" s="27">
        <v>46125</v>
      </c>
      <c r="H33" s="21" t="s">
        <v>29</v>
      </c>
      <c r="I33" s="28">
        <f t="shared" si="0"/>
        <v>0</v>
      </c>
      <c r="J33" s="31"/>
      <c r="K33" s="31"/>
    </row>
    <row r="34" spans="1:13" x14ac:dyDescent="0.25">
      <c r="A34">
        <v>26</v>
      </c>
      <c r="B34" s="25" t="s">
        <v>102</v>
      </c>
      <c r="C34" s="25" t="s">
        <v>98</v>
      </c>
      <c r="D34" s="26" t="s">
        <v>40</v>
      </c>
      <c r="E34" s="27">
        <v>46125</v>
      </c>
      <c r="H34" s="21" t="s">
        <v>29</v>
      </c>
      <c r="I34" s="28">
        <f t="shared" si="0"/>
        <v>4</v>
      </c>
      <c r="J34" s="31"/>
      <c r="K34" s="31">
        <v>4</v>
      </c>
    </row>
    <row r="35" spans="1:13" x14ac:dyDescent="0.25">
      <c r="A35">
        <v>27</v>
      </c>
      <c r="B35" s="25" t="s">
        <v>102</v>
      </c>
      <c r="C35" s="25" t="s">
        <v>101</v>
      </c>
      <c r="D35" s="26" t="s">
        <v>40</v>
      </c>
      <c r="E35" s="27">
        <v>46125</v>
      </c>
      <c r="H35" s="21" t="s">
        <v>29</v>
      </c>
      <c r="I35" s="28">
        <f t="shared" si="0"/>
        <v>4</v>
      </c>
      <c r="J35" s="31"/>
      <c r="K35" s="31">
        <v>4</v>
      </c>
    </row>
    <row r="36" spans="1:13" x14ac:dyDescent="0.25">
      <c r="A36">
        <v>28</v>
      </c>
      <c r="B36" s="25" t="s">
        <v>102</v>
      </c>
      <c r="C36" s="25" t="s">
        <v>103</v>
      </c>
      <c r="D36" s="26" t="s">
        <v>40</v>
      </c>
      <c r="E36" s="27">
        <v>46125</v>
      </c>
      <c r="H36" s="21" t="s">
        <v>29</v>
      </c>
      <c r="I36" s="28">
        <f t="shared" si="0"/>
        <v>0</v>
      </c>
      <c r="J36" s="31"/>
      <c r="K36" s="31"/>
    </row>
    <row r="37" spans="1:13" x14ac:dyDescent="0.25">
      <c r="A37">
        <v>29</v>
      </c>
      <c r="B37" s="25" t="s">
        <v>102</v>
      </c>
      <c r="C37" s="25" t="s">
        <v>104</v>
      </c>
      <c r="D37" s="26" t="s">
        <v>40</v>
      </c>
      <c r="E37" s="27">
        <v>46125</v>
      </c>
      <c r="H37" s="21" t="s">
        <v>29</v>
      </c>
      <c r="I37" s="28">
        <f t="shared" si="0"/>
        <v>0</v>
      </c>
      <c r="J37" s="31"/>
      <c r="K37" s="31"/>
    </row>
    <row r="38" spans="1:13" x14ac:dyDescent="0.25">
      <c r="A38">
        <v>30</v>
      </c>
      <c r="B38" s="25" t="s">
        <v>102</v>
      </c>
      <c r="C38" s="25" t="s">
        <v>105</v>
      </c>
      <c r="D38" s="26" t="s">
        <v>40</v>
      </c>
      <c r="E38" s="27">
        <v>46125</v>
      </c>
      <c r="H38" s="21" t="s">
        <v>29</v>
      </c>
      <c r="I38" s="28">
        <f t="shared" si="0"/>
        <v>0</v>
      </c>
      <c r="J38" s="31"/>
      <c r="K38" s="31"/>
    </row>
    <row r="39" spans="1:13" x14ac:dyDescent="0.25">
      <c r="A39">
        <v>31</v>
      </c>
      <c r="B39" s="25" t="s">
        <v>102</v>
      </c>
      <c r="C39" s="25" t="s">
        <v>106</v>
      </c>
      <c r="D39" s="26" t="s">
        <v>40</v>
      </c>
      <c r="E39" s="27">
        <v>46125</v>
      </c>
      <c r="H39" s="21" t="s">
        <v>29</v>
      </c>
      <c r="I39" s="28">
        <f t="shared" si="0"/>
        <v>0</v>
      </c>
      <c r="J39" s="31"/>
      <c r="K39" s="31"/>
    </row>
    <row r="40" spans="1:13" x14ac:dyDescent="0.25">
      <c r="J40" s="31"/>
      <c r="K40" s="31"/>
    </row>
    <row r="41" spans="1:13" x14ac:dyDescent="0.25">
      <c r="J41" s="31"/>
      <c r="K41" s="31"/>
    </row>
    <row r="42" spans="1:13" ht="15.75" thickBot="1" x14ac:dyDescent="0.3">
      <c r="A42" s="9" t="s">
        <v>18</v>
      </c>
      <c r="B42" s="5"/>
      <c r="C42" s="5"/>
      <c r="D42" s="5"/>
      <c r="E42" s="5"/>
      <c r="F42" s="5"/>
      <c r="G42" s="5"/>
      <c r="H42" s="5"/>
      <c r="I42" s="11">
        <f>SUM(I9:I41)</f>
        <v>78</v>
      </c>
      <c r="J42" s="11">
        <f>SUM(J9:J41)</f>
        <v>39</v>
      </c>
      <c r="K42" s="11">
        <f>SUM(K9:K41)</f>
        <v>39</v>
      </c>
      <c r="L42" s="11">
        <f>SUM(L9:L41)</f>
        <v>0</v>
      </c>
      <c r="M42" s="11">
        <f>SUM(L9:L41)</f>
        <v>0</v>
      </c>
    </row>
    <row r="43" spans="1:13" ht="15.75" thickTop="1" x14ac:dyDescent="0.25">
      <c r="I43" s="10"/>
      <c r="J43" s="10"/>
      <c r="K43" s="10"/>
      <c r="L43" s="10"/>
      <c r="M43" s="10"/>
    </row>
    <row r="44" spans="1:13" x14ac:dyDescent="0.25">
      <c r="A44" s="1" t="s">
        <v>19</v>
      </c>
      <c r="I44" s="10"/>
      <c r="J44" s="10"/>
      <c r="K44" s="10"/>
      <c r="L44" s="10"/>
      <c r="M44" s="10"/>
    </row>
    <row r="45" spans="1:13" x14ac:dyDescent="0.25">
      <c r="B45" t="s">
        <v>20</v>
      </c>
      <c r="C45" s="29" t="s">
        <v>20</v>
      </c>
      <c r="D45" s="25"/>
      <c r="E45" s="27"/>
      <c r="I45" s="10">
        <f>SUM(J45:M45)</f>
        <v>2</v>
      </c>
      <c r="J45" s="10">
        <v>1</v>
      </c>
      <c r="K45" s="10">
        <v>1</v>
      </c>
      <c r="L45" s="10"/>
      <c r="M45" s="10"/>
    </row>
    <row r="46" spans="1:13" x14ac:dyDescent="0.25">
      <c r="B46" t="s">
        <v>21</v>
      </c>
      <c r="I46" s="10">
        <f>SUM(J46:M46)</f>
        <v>0</v>
      </c>
      <c r="J46" s="10"/>
      <c r="K46" s="10"/>
      <c r="L46" s="10"/>
      <c r="M46" s="10"/>
    </row>
    <row r="47" spans="1:13" x14ac:dyDescent="0.25">
      <c r="B47" t="s">
        <v>22</v>
      </c>
      <c r="I47" s="10">
        <f>SUM(J47:M47)</f>
        <v>0</v>
      </c>
      <c r="J47" s="10"/>
      <c r="K47" s="10"/>
      <c r="L47" s="10"/>
      <c r="M47" s="10"/>
    </row>
    <row r="48" spans="1:13" x14ac:dyDescent="0.25">
      <c r="B48" t="s">
        <v>23</v>
      </c>
      <c r="I48" s="10">
        <f>SUM(J48:M48)</f>
        <v>0</v>
      </c>
      <c r="J48" s="10"/>
      <c r="K48" s="10"/>
      <c r="L48" s="10"/>
      <c r="M48" s="10"/>
    </row>
    <row r="49" spans="1:13" x14ac:dyDescent="0.25">
      <c r="B49" t="s">
        <v>24</v>
      </c>
      <c r="I49" s="10">
        <f>SUM(J49:M49)</f>
        <v>0</v>
      </c>
      <c r="J49" s="10"/>
      <c r="K49" s="10"/>
      <c r="L49" s="10"/>
      <c r="M49" s="10"/>
    </row>
    <row r="51" spans="1:13" ht="15.75" thickBot="1" x14ac:dyDescent="0.3">
      <c r="A51" s="9" t="s">
        <v>25</v>
      </c>
      <c r="B51" s="5"/>
      <c r="C51" s="5"/>
      <c r="D51" s="5"/>
      <c r="E51" s="5"/>
      <c r="F51" s="5"/>
      <c r="G51" s="5"/>
      <c r="H51" s="5"/>
      <c r="I51" s="11">
        <f t="shared" ref="I51:M51" si="1">SUM(I45:I50)</f>
        <v>2</v>
      </c>
      <c r="J51" s="11">
        <f t="shared" si="1"/>
        <v>1</v>
      </c>
      <c r="K51" s="11">
        <f t="shared" si="1"/>
        <v>1</v>
      </c>
      <c r="L51" s="11">
        <f t="shared" si="1"/>
        <v>0</v>
      </c>
      <c r="M51" s="11">
        <f t="shared" si="1"/>
        <v>0</v>
      </c>
    </row>
    <row r="52" spans="1:13" ht="15.75" thickTop="1" x14ac:dyDescent="0.25">
      <c r="I52" s="10"/>
      <c r="J52" s="10"/>
      <c r="K52" s="10"/>
      <c r="L52" s="10"/>
      <c r="M52" s="10"/>
    </row>
    <row r="53" spans="1:13" ht="15.75" thickBot="1" x14ac:dyDescent="0.3">
      <c r="A53" s="9" t="s">
        <v>26</v>
      </c>
      <c r="B53" s="5"/>
      <c r="C53" s="5"/>
      <c r="D53" s="5"/>
      <c r="E53" s="5"/>
      <c r="F53" s="5"/>
      <c r="G53" s="5"/>
      <c r="H53" s="5"/>
      <c r="I53" s="11">
        <f t="shared" ref="I53:M53" si="2">+I51+I42</f>
        <v>80</v>
      </c>
      <c r="J53" s="11">
        <f t="shared" si="2"/>
        <v>40</v>
      </c>
      <c r="K53" s="11">
        <f t="shared" si="2"/>
        <v>40</v>
      </c>
      <c r="L53" s="11">
        <f t="shared" si="2"/>
        <v>0</v>
      </c>
      <c r="M53" s="11">
        <f t="shared" si="2"/>
        <v>0</v>
      </c>
    </row>
    <row r="54" spans="1:13" ht="15.75" thickTop="1" x14ac:dyDescent="0.25"/>
    <row r="56" spans="1:13" ht="15.75" thickBot="1" x14ac:dyDescent="0.3">
      <c r="A56" s="9" t="s">
        <v>27</v>
      </c>
      <c r="B56" s="5"/>
      <c r="C56" s="5"/>
      <c r="D56" s="5"/>
      <c r="E56" s="5"/>
      <c r="F56" s="5"/>
      <c r="G56" s="5"/>
      <c r="H56" s="5"/>
      <c r="I56" s="11"/>
      <c r="J56" s="11">
        <v>40</v>
      </c>
      <c r="K56" s="11">
        <v>40</v>
      </c>
      <c r="L56" s="11">
        <v>40</v>
      </c>
      <c r="M56" s="11">
        <v>40</v>
      </c>
    </row>
    <row r="57" spans="1:13" ht="16.5" thickTop="1" thickBot="1" x14ac:dyDescent="0.3">
      <c r="A57" s="9" t="s">
        <v>28</v>
      </c>
      <c r="B57" s="5"/>
      <c r="C57" s="5"/>
      <c r="D57" s="5"/>
      <c r="E57" s="5"/>
      <c r="F57" s="5"/>
      <c r="G57" s="5"/>
      <c r="H57" s="5"/>
      <c r="I57" s="11"/>
      <c r="J57" s="11">
        <f>+J56-J53</f>
        <v>0</v>
      </c>
      <c r="K57" s="11">
        <f t="shared" ref="K57:M57" si="3">+K56-K53</f>
        <v>0</v>
      </c>
      <c r="L57" s="11">
        <f t="shared" si="3"/>
        <v>40</v>
      </c>
      <c r="M57" s="11">
        <f t="shared" si="3"/>
        <v>40</v>
      </c>
    </row>
    <row r="58" spans="1:13" ht="15.75" thickTop="1" x14ac:dyDescent="0.25"/>
  </sheetData>
  <protectedRanges>
    <protectedRange sqref="A9:C9 A46:D50 E47:E50 A40:C41 F11:F22 E9:I9 C11:C39 G10:G22 A45:XFD45 F46:XFD50 F40:I41 A10:A39 E10:E41 F23:G39 H10:I39 L9:XFD41" name="Range1"/>
    <protectedRange sqref="D9:D41" name="Range1_2"/>
    <protectedRange sqref="F10" name="Range1_3"/>
  </protectedRanges>
  <autoFilter ref="A7:M58" xr:uid="{00000000-0001-0000-0000-000000000000}"/>
  <pageMargins left="0.25" right="0.25" top="0.75" bottom="0.75" header="0.3" footer="0.3"/>
  <pageSetup orientation="landscape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74BA8BDB-53D6-49C3-ABCC-E46D7EAA39F8}">
          <x14:formula1>
            <xm:f>Status!$B$15:$B$22</xm:f>
          </x14:formula1>
          <xm:sqref>H9:H41</xm:sqref>
        </x14:dataValidation>
        <x14:dataValidation type="list" allowBlank="1" showInputMessage="1" showErrorMessage="1" xr:uid="{B3593689-9E01-4298-B008-351C49C0C35E}">
          <x14:formula1>
            <xm:f>Status!$B$3:$B$11</xm:f>
          </x14:formula1>
          <xm:sqref>D9:D41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22"/>
  <sheetViews>
    <sheetView workbookViewId="0"/>
  </sheetViews>
  <sheetFormatPr defaultRowHeight="15" x14ac:dyDescent="0.25"/>
  <cols>
    <col min="2" max="2" width="42.28515625" bestFit="1" customWidth="1"/>
    <col min="3" max="3" width="105" bestFit="1" customWidth="1"/>
  </cols>
  <sheetData>
    <row r="2" spans="2:3" ht="16.5" x14ac:dyDescent="0.25">
      <c r="B2" s="19" t="s">
        <v>38</v>
      </c>
      <c r="C2" s="19" t="s">
        <v>43</v>
      </c>
    </row>
    <row r="3" spans="2:3" x14ac:dyDescent="0.25">
      <c r="B3" s="16" t="s">
        <v>39</v>
      </c>
      <c r="C3" s="17" t="s">
        <v>44</v>
      </c>
    </row>
    <row r="4" spans="2:3" x14ac:dyDescent="0.25">
      <c r="B4" s="16" t="s">
        <v>45</v>
      </c>
      <c r="C4" s="17" t="s">
        <v>46</v>
      </c>
    </row>
    <row r="5" spans="2:3" x14ac:dyDescent="0.25">
      <c r="B5" s="16" t="s">
        <v>47</v>
      </c>
      <c r="C5" s="17" t="s">
        <v>48</v>
      </c>
    </row>
    <row r="6" spans="2:3" x14ac:dyDescent="0.25">
      <c r="B6" s="16" t="s">
        <v>40</v>
      </c>
      <c r="C6" s="17" t="s">
        <v>49</v>
      </c>
    </row>
    <row r="7" spans="2:3" x14ac:dyDescent="0.25">
      <c r="B7" s="16" t="s">
        <v>50</v>
      </c>
      <c r="C7" s="17" t="s">
        <v>51</v>
      </c>
    </row>
    <row r="8" spans="2:3" x14ac:dyDescent="0.25">
      <c r="B8" s="16" t="s">
        <v>41</v>
      </c>
      <c r="C8" s="17" t="s">
        <v>52</v>
      </c>
    </row>
    <row r="9" spans="2:3" x14ac:dyDescent="0.25">
      <c r="B9" s="16" t="s">
        <v>42</v>
      </c>
      <c r="C9" s="17" t="s">
        <v>53</v>
      </c>
    </row>
    <row r="10" spans="2:3" x14ac:dyDescent="0.25">
      <c r="B10" s="16" t="s">
        <v>54</v>
      </c>
      <c r="C10" s="17" t="s">
        <v>55</v>
      </c>
    </row>
    <row r="11" spans="2:3" x14ac:dyDescent="0.25">
      <c r="B11" s="16" t="s">
        <v>71</v>
      </c>
      <c r="C11" s="17" t="s">
        <v>72</v>
      </c>
    </row>
    <row r="14" spans="2:3" ht="16.5" x14ac:dyDescent="0.25">
      <c r="B14" s="19" t="s">
        <v>56</v>
      </c>
      <c r="C14" s="19" t="s">
        <v>43</v>
      </c>
    </row>
    <row r="15" spans="2:3" x14ac:dyDescent="0.25">
      <c r="B15" s="18" t="s">
        <v>29</v>
      </c>
      <c r="C15" s="17" t="s">
        <v>57</v>
      </c>
    </row>
    <row r="16" spans="2:3" x14ac:dyDescent="0.25">
      <c r="B16" s="18" t="s">
        <v>58</v>
      </c>
      <c r="C16" s="17" t="s">
        <v>59</v>
      </c>
    </row>
    <row r="17" spans="2:3" x14ac:dyDescent="0.25">
      <c r="B17" s="18" t="s">
        <v>37</v>
      </c>
      <c r="C17" s="17" t="s">
        <v>60</v>
      </c>
    </row>
    <row r="18" spans="2:3" x14ac:dyDescent="0.25">
      <c r="B18" s="18" t="s">
        <v>17</v>
      </c>
      <c r="C18" s="17" t="s">
        <v>61</v>
      </c>
    </row>
    <row r="19" spans="2:3" x14ac:dyDescent="0.25">
      <c r="B19" s="18" t="s">
        <v>30</v>
      </c>
      <c r="C19" s="17" t="s">
        <v>62</v>
      </c>
    </row>
    <row r="20" spans="2:3" x14ac:dyDescent="0.25">
      <c r="B20" s="18" t="s">
        <v>31</v>
      </c>
      <c r="C20" s="17" t="s">
        <v>63</v>
      </c>
    </row>
    <row r="21" spans="2:3" x14ac:dyDescent="0.25">
      <c r="B21" s="18" t="s">
        <v>64</v>
      </c>
      <c r="C21" s="17" t="s">
        <v>65</v>
      </c>
    </row>
    <row r="22" spans="2:3" x14ac:dyDescent="0.25">
      <c r="B22" s="18" t="s">
        <v>36</v>
      </c>
      <c r="C22" s="17" t="s">
        <v>66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E2E60-F470-4239-9579-7003731F04DB}">
  <dimension ref="A1:A16"/>
  <sheetViews>
    <sheetView workbookViewId="0"/>
  </sheetViews>
  <sheetFormatPr defaultRowHeight="15" x14ac:dyDescent="0.25"/>
  <cols>
    <col min="1" max="1" width="124.28515625" bestFit="1" customWidth="1"/>
  </cols>
  <sheetData>
    <row r="1" spans="1:1" s="13" customFormat="1" ht="16.5" thickBot="1" x14ac:dyDescent="0.3">
      <c r="A1" s="15" t="s">
        <v>32</v>
      </c>
    </row>
    <row r="2" spans="1:1" s="13" customFormat="1" ht="15.75" x14ac:dyDescent="0.25">
      <c r="A2" s="14"/>
    </row>
    <row r="3" spans="1:1" s="13" customFormat="1" ht="15.75" x14ac:dyDescent="0.25">
      <c r="A3" s="12" t="s">
        <v>69</v>
      </c>
    </row>
    <row r="4" spans="1:1" s="13" customFormat="1" ht="15.75" x14ac:dyDescent="0.25">
      <c r="A4" s="14"/>
    </row>
    <row r="5" spans="1:1" s="13" customFormat="1" ht="15.75" x14ac:dyDescent="0.25">
      <c r="A5" s="14"/>
    </row>
    <row r="6" spans="1:1" s="13" customFormat="1" ht="15.75" x14ac:dyDescent="0.25">
      <c r="A6" s="14"/>
    </row>
    <row r="7" spans="1:1" ht="15.75" x14ac:dyDescent="0.25">
      <c r="A7" s="12" t="s">
        <v>33</v>
      </c>
    </row>
    <row r="8" spans="1:1" ht="15.75" x14ac:dyDescent="0.25">
      <c r="A8" s="12" t="s">
        <v>70</v>
      </c>
    </row>
    <row r="9" spans="1:1" ht="15.75" x14ac:dyDescent="0.25">
      <c r="A9" s="12" t="s">
        <v>68</v>
      </c>
    </row>
    <row r="10" spans="1:1" ht="15.75" x14ac:dyDescent="0.25">
      <c r="A10" s="12" t="s">
        <v>34</v>
      </c>
    </row>
    <row r="11" spans="1:1" ht="15.75" x14ac:dyDescent="0.25">
      <c r="A11" s="12" t="s">
        <v>35</v>
      </c>
    </row>
    <row r="12" spans="1:1" ht="15.75" x14ac:dyDescent="0.25">
      <c r="A12" s="12" t="s">
        <v>67</v>
      </c>
    </row>
    <row r="14" spans="1:1" x14ac:dyDescent="0.25">
      <c r="A14" s="22"/>
    </row>
    <row r="15" spans="1:1" x14ac:dyDescent="0.25">
      <c r="A15" s="22"/>
    </row>
    <row r="16" spans="1:1" x14ac:dyDescent="0.25">
      <c r="A16" s="22"/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938fc98f-d1dd-4f18-88d1-b56ade8ba642}" enabled="1" method="Standard" siteId="{b61676ce-c0be-4347-9af9-48129a8dccb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WIP</vt:lpstr>
      <vt:lpstr>Status</vt:lpstr>
      <vt:lpstr>Instruction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Patel</dc:creator>
  <cp:keywords/>
  <dc:description/>
  <cp:lastModifiedBy>Harsh Modi</cp:lastModifiedBy>
  <cp:revision/>
  <dcterms:created xsi:type="dcterms:W3CDTF">2015-06-05T18:17:20Z</dcterms:created>
  <dcterms:modified xsi:type="dcterms:W3CDTF">2026-05-04T07:35:27Z</dcterms:modified>
  <cp:category/>
  <cp:contentStatus/>
</cp:coreProperties>
</file>