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ndeep Chavda\"/>
    </mc:Choice>
  </mc:AlternateContent>
  <xr:revisionPtr revIDLastSave="0" documentId="13_ncr:1_{00AE3649-10FC-4532-8D63-2799DE3EB7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1" l="1"/>
  <c r="K53" i="1" l="1"/>
  <c r="L53" i="1" l="1"/>
  <c r="M53" i="1"/>
  <c r="N53" i="1"/>
  <c r="J53" i="1"/>
  <c r="I34" i="1"/>
  <c r="I35" i="1"/>
  <c r="I36" i="1"/>
  <c r="I37" i="1"/>
  <c r="I38" i="1"/>
  <c r="I39" i="1"/>
  <c r="I40" i="1"/>
  <c r="I41" i="1"/>
  <c r="I42" i="1"/>
  <c r="I58" i="1"/>
  <c r="I59" i="1"/>
  <c r="L56" i="1"/>
  <c r="M56" i="1"/>
  <c r="N56" i="1"/>
  <c r="K56" i="1"/>
  <c r="J56" i="1" l="1"/>
  <c r="I56" i="1" s="1"/>
  <c r="I57" i="1" l="1"/>
  <c r="I16" i="1" l="1"/>
  <c r="I15" i="1"/>
  <c r="I14" i="1"/>
  <c r="I11" i="1"/>
  <c r="I12" i="1"/>
  <c r="I13" i="1"/>
  <c r="I17" i="1"/>
  <c r="I19" i="1"/>
  <c r="I20" i="1"/>
  <c r="I21" i="1"/>
  <c r="I22" i="1"/>
  <c r="I23" i="1"/>
  <c r="I24" i="1"/>
  <c r="I25" i="1"/>
  <c r="I26" i="1"/>
  <c r="I27" i="1"/>
  <c r="I28" i="1"/>
  <c r="I29" i="1"/>
  <c r="I30" i="1"/>
  <c r="I32" i="1"/>
  <c r="I33" i="1"/>
  <c r="I43" i="1"/>
  <c r="I44" i="1"/>
  <c r="I45" i="1"/>
  <c r="I46" i="1"/>
  <c r="I47" i="1"/>
  <c r="I48" i="1"/>
  <c r="I49" i="1"/>
  <c r="I50" i="1"/>
  <c r="I31" i="1"/>
  <c r="I51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I62" i="1" l="1"/>
  <c r="I9" i="1"/>
  <c r="I10" i="1"/>
  <c r="J62" i="1"/>
  <c r="N62" i="1" l="1"/>
  <c r="M62" i="1"/>
  <c r="L62" i="1"/>
  <c r="K62" i="1"/>
  <c r="K6" i="1"/>
  <c r="L6" i="1" s="1"/>
  <c r="M6" i="1" s="1"/>
  <c r="N6" i="1" s="1"/>
  <c r="M64" i="1" l="1"/>
  <c r="M68" i="1" s="1"/>
  <c r="K64" i="1"/>
  <c r="K68" i="1" s="1"/>
  <c r="N64" i="1"/>
  <c r="N68" i="1" s="1"/>
  <c r="L64" i="1"/>
  <c r="L68" i="1" s="1"/>
  <c r="J64" i="1" l="1"/>
  <c r="J68" i="1" s="1"/>
  <c r="I18" i="1"/>
  <c r="I53" i="1" l="1"/>
  <c r="I64" i="1" s="1"/>
</calcChain>
</file>

<file path=xl/sharedStrings.xml><?xml version="1.0" encoding="utf-8"?>
<sst xmlns="http://schemas.openxmlformats.org/spreadsheetml/2006/main" count="264" uniqueCount="131">
  <si>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</si>
  <si>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</si>
  <si>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</si>
  <si>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</si>
  <si>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</si>
  <si>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</si>
  <si>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</si>
  <si>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</si>
  <si>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</si>
  <si>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</si>
  <si>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</si>
  <si>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</si>
  <si>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</si>
  <si>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</si>
  <si>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</si>
  <si>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</si>
  <si>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</si>
  <si>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</si>
  <si>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</si>
  <si>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</si>
  <si>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</si>
  <si>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</si>
  <si>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</si>
  <si>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</si>
  <si>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</si>
  <si>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</si>
  <si>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</si>
  <si>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</si>
  <si>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</si>
  <si>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</si>
  <si>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</si>
  <si>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</si>
  <si>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</si>
  <si>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</si>
  <si>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</si>
  <si>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</si>
  <si>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</si>
  <si>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</si>
  <si>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</si>
  <si>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</si>
  <si>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</si>
  <si>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</si>
  <si>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</si>
  <si>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</si>
  <si>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</si>
  <si>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</si>
  <si>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</si>
  <si>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</si>
  <si>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</si>
  <si>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</si>
  <si>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</si>
  <si>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</si>
  <si>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</si>
  <si>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</si>
  <si>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</si>
  <si>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</si>
  <si>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</si>
  <si>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</si>
  <si>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</si>
  <si>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</si>
  <si>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</si>
  <si>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</si>
  <si>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</si>
  <si>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</si>
  <si>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</si>
  <si>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</si>
  <si>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</si>
  <si>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</si>
  <si>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</si>
  <si>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</si>
  <si>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</si>
  <si>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</si>
  <si>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</si>
  <si>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</si>
  <si>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Daker Seamless Gutters</t>
  </si>
  <si>
    <t>Chrome Shack</t>
  </si>
  <si>
    <t>John's Automotive Repair, LLC</t>
  </si>
  <si>
    <t>Hanna City Sportsman Club</t>
  </si>
  <si>
    <t>Peugh Property Management</t>
  </si>
  <si>
    <t>Smo-King Pit</t>
  </si>
  <si>
    <t>GMG, Jr</t>
  </si>
  <si>
    <t>Bob's &amp; Swise Towing - Sales Tax Client</t>
  </si>
  <si>
    <t>Jim's Downtown Steakhouse</t>
  </si>
  <si>
    <t>Romancy Inc</t>
  </si>
  <si>
    <t>Dreamscapes Automotive LLC</t>
  </si>
  <si>
    <t>Dreamscapes Landscaping</t>
  </si>
  <si>
    <t>Take On Inc</t>
  </si>
  <si>
    <t>Paul Babbitt Trucking</t>
  </si>
  <si>
    <t>Abner Install LLC</t>
  </si>
  <si>
    <t>Academy of Screen-printing &amp; Awards</t>
  </si>
  <si>
    <t>Big City Automotive</t>
  </si>
  <si>
    <t>Randle Automotive Services LLC</t>
  </si>
  <si>
    <t>American Pride Garages</t>
  </si>
  <si>
    <t>Mikes Garage</t>
  </si>
  <si>
    <t>Dang Banh MI &amp; Poke Bloomington LLC</t>
  </si>
  <si>
    <t>Dang Banh Mi &amp; poke Peoria LLC</t>
  </si>
  <si>
    <t>Schooners of Morton Inc</t>
  </si>
  <si>
    <t>Parker &amp; Parker</t>
  </si>
  <si>
    <t>Stringtown BBQ</t>
  </si>
  <si>
    <t>Rockhill LLC</t>
  </si>
  <si>
    <t>Maga Investments, LLC</t>
  </si>
  <si>
    <t>Builders Warehouse</t>
  </si>
  <si>
    <t>C &amp; H Repair + Supply</t>
  </si>
  <si>
    <t>Freedom Paws Service Dogs Foundation</t>
  </si>
  <si>
    <t>Thanh Linh Vietnamese Restaurant</t>
  </si>
  <si>
    <t>The Dapper Dog</t>
  </si>
  <si>
    <t>Central Illinois Baking Co. Inc</t>
  </si>
  <si>
    <t>David Streitmatter Company Inc</t>
  </si>
  <si>
    <t>DC Global Supply, Inc.</t>
  </si>
  <si>
    <t>Chillicothe Steak House, Inc.</t>
  </si>
  <si>
    <t>Randle Home Services</t>
  </si>
  <si>
    <t>Global Manufacturing Alliance</t>
  </si>
  <si>
    <t>Quality Mining Production</t>
  </si>
  <si>
    <t>The Dewitt HQ</t>
  </si>
  <si>
    <t>Lane Transfer</t>
  </si>
  <si>
    <t>KJBJ LLC</t>
  </si>
  <si>
    <t>Kashyap Raval</t>
  </si>
  <si>
    <t>Sandeepkumar Chavda</t>
  </si>
  <si>
    <t>Total Income Tax LLC</t>
  </si>
  <si>
    <t>Sr.No</t>
  </si>
  <si>
    <t>Bearden Stroup &amp; Associates CPAs</t>
  </si>
  <si>
    <t>Bookworks Accounting &amp; Bookkeeping, LLC</t>
  </si>
  <si>
    <t>CAVU Human Capital Management</t>
  </si>
  <si>
    <t>HM &amp; M Advisory, LLC A Springline Company</t>
  </si>
  <si>
    <t>Jebran &amp; Abraham PC</t>
  </si>
  <si>
    <t>Leung Tax Consulting, Inc.</t>
  </si>
  <si>
    <t>Sharp Income Tax Service, Inc.</t>
  </si>
  <si>
    <t>SPRLINE CONSULTANCY PRIVATE LIMITED</t>
  </si>
  <si>
    <t>Staff</t>
  </si>
  <si>
    <t>Week 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</si>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</sst>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5" borderId="0" xfId="1" applyFont="1" applyFill="1"/>
    <xf numFmtId="43" fontId="1" fillId="5" borderId="1" xfId="1" applyFont="1" applyFill="1" applyBorder="1"/>
    <xf numFmtId="0" fontId="0" fillId="0" borderId="0" xfId="0" applyAlignment="1">
      <alignment vertical="center"/>
    </xf>
    <xf numFmtId="43" fontId="0" fillId="5" borderId="0" xfId="1" applyFont="1" applyFill="1" applyAlignment="1">
      <alignment vertical="center"/>
    </xf>
    <xf numFmtId="43" fontId="0" fillId="0" borderId="0" xfId="1" applyFont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 wrapText="1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9" fillId="0" borderId="7" xfId="0" applyFont="1" applyBorder="1"/>
    <xf numFmtId="0" fontId="8" fillId="0" borderId="8" xfId="0" applyFont="1" applyBorder="1"/>
    <xf numFmtId="0" fontId="9" fillId="0" borderId="9" xfId="0" applyFont="1" applyBorder="1"/>
    <xf numFmtId="43" fontId="1" fillId="0" borderId="1" xfId="1" applyFont="1" applyFill="1" applyBorder="1"/>
    <xf numFmtId="0" fontId="1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zoomScale="85" zoomScaleNormal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5" x14ac:dyDescent="0.25"/>
  <cols>
    <col min="1" max="1" width="24.5703125" bestFit="1" customWidth="1"/>
    <col min="2" max="2" width="33.140625" bestFit="1" customWidth="1"/>
    <col min="3" max="3" width="38.5703125" bestFit="1" customWidth="1"/>
    <col min="4" max="4" width="50.85546875" customWidth="1"/>
    <col min="5" max="6" width="11.7109375" customWidth="1"/>
    <col min="7" max="7" width="13.140625" customWidth="1"/>
    <col min="8" max="8" width="24.28515625" customWidth="1"/>
    <col min="9" max="9" width="8.42578125" customWidth="1"/>
    <col min="10" max="12" width="10.7109375" bestFit="1" customWidth="1"/>
    <col min="13" max="13" width="10.7109375" customWidth="1"/>
    <col min="14" max="14" width="10.85546875" bestFit="1" customWidth="1"/>
  </cols>
  <sheetData>
    <row r="1" spans="1:14" x14ac:dyDescent="0.25">
      <c r="A1" s="1" t="s">
        <v>0</v>
      </c>
      <c r="H1" s="11"/>
    </row>
    <row r="2" spans="1:14" x14ac:dyDescent="0.25">
      <c r="A2" s="1" t="s">
        <v>1</v>
      </c>
      <c r="B2" s="9" t="s">
        <v>116</v>
      </c>
      <c r="C2" s="9"/>
      <c r="H2" s="1"/>
      <c r="I2" s="1"/>
      <c r="J2" s="10"/>
      <c r="K2" s="10"/>
      <c r="L2" s="10"/>
      <c r="M2" s="10"/>
    </row>
    <row r="3" spans="1:14" x14ac:dyDescent="0.25">
      <c r="A3" s="1" t="s">
        <v>2</v>
      </c>
      <c r="B3" s="9" t="s">
        <v>128</v>
      </c>
      <c r="C3" s="9"/>
      <c r="H3" s="1"/>
      <c r="I3" s="1"/>
      <c r="J3" s="10"/>
      <c r="K3" s="10"/>
      <c r="L3" s="10"/>
      <c r="M3" s="10"/>
    </row>
    <row r="4" spans="1:14" x14ac:dyDescent="0.25">
      <c r="A4" s="1" t="s">
        <v>3</v>
      </c>
      <c r="B4" s="9" t="s">
        <v>117</v>
      </c>
      <c r="C4" s="9"/>
      <c r="H4" s="1"/>
      <c r="I4" s="1"/>
      <c r="J4" s="10"/>
      <c r="K4" s="10"/>
      <c r="L4" s="10"/>
      <c r="M4" s="10"/>
    </row>
    <row r="5" spans="1:14" x14ac:dyDescent="0.25">
      <c r="A5" s="1"/>
      <c r="B5" s="9"/>
      <c r="C5" s="9"/>
    </row>
    <row r="6" spans="1:14" x14ac:dyDescent="0.25">
      <c r="I6" s="7" t="s">
        <v>4</v>
      </c>
      <c r="J6" s="26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4" s="1" customFormat="1" ht="30" x14ac:dyDescent="0.25">
      <c r="A7" s="3" t="s">
        <v>5</v>
      </c>
      <c r="B7" s="3" t="s">
        <v>6</v>
      </c>
      <c r="C7" s="3" t="s">
        <v>7</v>
      </c>
      <c r="D7" s="23" t="s">
        <v>39</v>
      </c>
      <c r="E7" s="3" t="s">
        <v>8</v>
      </c>
      <c r="F7" s="3" t="s">
        <v>9</v>
      </c>
      <c r="G7" s="3" t="s">
        <v>10</v>
      </c>
      <c r="H7" s="23" t="s">
        <v>11</v>
      </c>
      <c r="I7" s="2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129</v>
      </c>
    </row>
    <row r="8" spans="1:14" x14ac:dyDescent="0.25">
      <c r="A8" s="6" t="s">
        <v>17</v>
      </c>
      <c r="B8" s="4"/>
      <c r="C8" s="4"/>
      <c r="D8" s="23"/>
      <c r="E8" s="4"/>
      <c r="F8" s="4"/>
      <c r="G8" s="4"/>
      <c r="H8" s="23"/>
      <c r="I8" s="23"/>
      <c r="J8" s="4"/>
      <c r="K8" s="4"/>
      <c r="L8" s="4"/>
      <c r="M8" s="4"/>
      <c r="N8" s="5"/>
    </row>
    <row r="9" spans="1:14" x14ac:dyDescent="0.25">
      <c r="A9">
        <v>1</v>
      </c>
      <c r="B9" s="43" t="s">
        <v>118</v>
      </c>
      <c r="C9" t="s">
        <v>74</v>
      </c>
      <c r="D9" s="24" t="s">
        <v>41</v>
      </c>
      <c r="E9" s="2">
        <v>46146</v>
      </c>
      <c r="F9" s="2">
        <v>46155</v>
      </c>
      <c r="G9" s="2">
        <v>46173</v>
      </c>
      <c r="H9" s="24" t="s">
        <v>59</v>
      </c>
      <c r="I9" s="27">
        <f t="shared" ref="I9:I27" si="0">SUM(J9:N9)</f>
        <v>2</v>
      </c>
      <c r="J9" s="13">
        <v>2</v>
      </c>
      <c r="L9" s="13"/>
      <c r="M9" s="13"/>
    </row>
    <row r="10" spans="1:14" x14ac:dyDescent="0.25">
      <c r="A10">
        <f>+A9+1</f>
        <v>2</v>
      </c>
      <c r="B10" s="43" t="s">
        <v>118</v>
      </c>
      <c r="C10" t="s">
        <v>75</v>
      </c>
      <c r="D10" s="24" t="s">
        <v>41</v>
      </c>
      <c r="E10" s="2">
        <v>46146</v>
      </c>
      <c r="F10" s="2">
        <v>46155</v>
      </c>
      <c r="G10" s="2">
        <v>46173</v>
      </c>
      <c r="H10" s="24" t="s">
        <v>59</v>
      </c>
      <c r="I10" s="27">
        <f t="shared" si="0"/>
        <v>1.5</v>
      </c>
      <c r="J10" s="13">
        <v>1.5</v>
      </c>
      <c r="L10" s="13"/>
      <c r="M10" s="13"/>
    </row>
    <row r="11" spans="1:14" x14ac:dyDescent="0.25">
      <c r="A11">
        <f t="shared" ref="A11:A51" si="1">+A10+1</f>
        <v>3</v>
      </c>
      <c r="B11" s="43" t="s">
        <v>118</v>
      </c>
      <c r="C11" t="s">
        <v>76</v>
      </c>
      <c r="D11" s="24" t="s">
        <v>41</v>
      </c>
      <c r="E11" s="2">
        <v>46146</v>
      </c>
      <c r="F11" s="2">
        <v>46155</v>
      </c>
      <c r="G11" s="2">
        <v>46173</v>
      </c>
      <c r="H11" s="24" t="s">
        <v>59</v>
      </c>
      <c r="I11" s="27">
        <f t="shared" si="0"/>
        <v>2.5</v>
      </c>
      <c r="J11" s="13">
        <v>2.5</v>
      </c>
      <c r="L11" s="13"/>
      <c r="M11" s="13"/>
    </row>
    <row r="12" spans="1:14" x14ac:dyDescent="0.25">
      <c r="A12">
        <f t="shared" si="1"/>
        <v>4</v>
      </c>
      <c r="B12" s="43" t="s">
        <v>118</v>
      </c>
      <c r="C12" t="s">
        <v>77</v>
      </c>
      <c r="D12" s="24" t="s">
        <v>41</v>
      </c>
      <c r="E12" s="2">
        <v>46146</v>
      </c>
      <c r="F12" s="2">
        <v>46155</v>
      </c>
      <c r="G12" s="2">
        <v>46173</v>
      </c>
      <c r="H12" s="24" t="s">
        <v>59</v>
      </c>
      <c r="I12" s="27">
        <f t="shared" si="0"/>
        <v>3</v>
      </c>
      <c r="J12" s="13">
        <v>3</v>
      </c>
      <c r="L12" s="13"/>
      <c r="M12" s="13"/>
    </row>
    <row r="13" spans="1:14" x14ac:dyDescent="0.25">
      <c r="A13">
        <f t="shared" si="1"/>
        <v>5</v>
      </c>
      <c r="B13" s="43" t="s">
        <v>118</v>
      </c>
      <c r="C13" t="s">
        <v>78</v>
      </c>
      <c r="D13" s="24" t="s">
        <v>41</v>
      </c>
      <c r="E13" s="2">
        <v>46146</v>
      </c>
      <c r="F13" s="2">
        <v>46155</v>
      </c>
      <c r="G13" s="2">
        <v>46173</v>
      </c>
      <c r="H13" s="24" t="s">
        <v>59</v>
      </c>
      <c r="I13" s="27">
        <f t="shared" si="0"/>
        <v>2</v>
      </c>
      <c r="J13" s="13">
        <v>2</v>
      </c>
      <c r="L13" s="13"/>
      <c r="M13" s="13"/>
    </row>
    <row r="14" spans="1:14" x14ac:dyDescent="0.25">
      <c r="A14">
        <f t="shared" si="1"/>
        <v>6</v>
      </c>
      <c r="B14" s="43" t="s">
        <v>118</v>
      </c>
      <c r="C14" t="s">
        <v>79</v>
      </c>
      <c r="D14" s="24" t="s">
        <v>41</v>
      </c>
      <c r="E14" s="2">
        <v>46146</v>
      </c>
      <c r="F14" s="2">
        <v>46155</v>
      </c>
      <c r="G14" s="2">
        <v>46173</v>
      </c>
      <c r="H14" s="24" t="s">
        <v>59</v>
      </c>
      <c r="I14" s="27">
        <f t="shared" si="0"/>
        <v>2</v>
      </c>
      <c r="J14" s="13">
        <v>2</v>
      </c>
      <c r="L14" s="13"/>
      <c r="M14" s="13"/>
    </row>
    <row r="15" spans="1:14" x14ac:dyDescent="0.25">
      <c r="A15">
        <f t="shared" si="1"/>
        <v>7</v>
      </c>
      <c r="B15" s="43" t="s">
        <v>118</v>
      </c>
      <c r="C15" t="s">
        <v>80</v>
      </c>
      <c r="D15" s="24" t="s">
        <v>41</v>
      </c>
      <c r="E15" s="2">
        <v>46146</v>
      </c>
      <c r="F15" s="2">
        <v>46155</v>
      </c>
      <c r="G15" s="2">
        <v>46173</v>
      </c>
      <c r="H15" s="24" t="s">
        <v>59</v>
      </c>
      <c r="I15" s="27">
        <f t="shared" si="0"/>
        <v>1.25</v>
      </c>
      <c r="J15" s="13">
        <v>1.25</v>
      </c>
      <c r="L15" s="13"/>
      <c r="M15" s="13"/>
    </row>
    <row r="16" spans="1:14" x14ac:dyDescent="0.25">
      <c r="A16">
        <f t="shared" si="1"/>
        <v>8</v>
      </c>
      <c r="B16" s="43" t="s">
        <v>118</v>
      </c>
      <c r="C16" t="s">
        <v>81</v>
      </c>
      <c r="D16" s="24" t="s">
        <v>41</v>
      </c>
      <c r="E16" s="2">
        <v>46146</v>
      </c>
      <c r="F16" s="2">
        <v>46155</v>
      </c>
      <c r="G16" s="2">
        <v>46173</v>
      </c>
      <c r="H16" s="24" t="s">
        <v>59</v>
      </c>
      <c r="I16" s="27">
        <f t="shared" si="0"/>
        <v>2</v>
      </c>
      <c r="J16" s="13">
        <v>2</v>
      </c>
      <c r="L16" s="13"/>
      <c r="M16" s="13"/>
    </row>
    <row r="17" spans="1:13" x14ac:dyDescent="0.25">
      <c r="A17">
        <f t="shared" si="1"/>
        <v>9</v>
      </c>
      <c r="B17" s="43" t="s">
        <v>118</v>
      </c>
      <c r="C17" t="s">
        <v>82</v>
      </c>
      <c r="D17" s="24" t="s">
        <v>41</v>
      </c>
      <c r="E17" s="2">
        <v>46146</v>
      </c>
      <c r="F17" s="2">
        <v>46155</v>
      </c>
      <c r="G17" s="2">
        <v>46173</v>
      </c>
      <c r="H17" s="24" t="s">
        <v>59</v>
      </c>
      <c r="I17" s="27">
        <f t="shared" si="0"/>
        <v>3</v>
      </c>
      <c r="J17" s="13">
        <v>3</v>
      </c>
      <c r="L17" s="13"/>
      <c r="M17" s="13"/>
    </row>
    <row r="18" spans="1:13" x14ac:dyDescent="0.25">
      <c r="A18">
        <f t="shared" si="1"/>
        <v>10</v>
      </c>
      <c r="B18" s="43" t="s">
        <v>118</v>
      </c>
      <c r="C18" t="s">
        <v>83</v>
      </c>
      <c r="D18" s="24" t="s">
        <v>41</v>
      </c>
      <c r="E18" s="2">
        <v>46146</v>
      </c>
      <c r="F18" s="2">
        <v>46155</v>
      </c>
      <c r="G18" s="2">
        <v>46173</v>
      </c>
      <c r="H18" s="24" t="s">
        <v>59</v>
      </c>
      <c r="I18" s="27">
        <f t="shared" si="0"/>
        <v>1.5</v>
      </c>
      <c r="J18" s="13">
        <v>1.5</v>
      </c>
      <c r="L18" s="13"/>
      <c r="M18" s="13"/>
    </row>
    <row r="19" spans="1:13" x14ac:dyDescent="0.25">
      <c r="A19">
        <f t="shared" si="1"/>
        <v>11</v>
      </c>
      <c r="B19" s="43" t="s">
        <v>118</v>
      </c>
      <c r="C19" t="s">
        <v>84</v>
      </c>
      <c r="D19" s="24" t="s">
        <v>41</v>
      </c>
      <c r="E19" s="2">
        <v>46146</v>
      </c>
      <c r="F19" s="2">
        <v>46155</v>
      </c>
      <c r="G19" s="2">
        <v>46173</v>
      </c>
      <c r="H19" s="24" t="s">
        <v>59</v>
      </c>
      <c r="I19" s="27">
        <f t="shared" si="0"/>
        <v>2</v>
      </c>
      <c r="J19" s="13">
        <v>2</v>
      </c>
      <c r="L19" s="13"/>
      <c r="M19" s="13"/>
    </row>
    <row r="20" spans="1:13" x14ac:dyDescent="0.25">
      <c r="A20">
        <f t="shared" si="1"/>
        <v>12</v>
      </c>
      <c r="B20" s="43" t="s">
        <v>118</v>
      </c>
      <c r="C20" t="s">
        <v>85</v>
      </c>
      <c r="D20" s="24" t="s">
        <v>41</v>
      </c>
      <c r="E20" s="2">
        <v>46146</v>
      </c>
      <c r="F20" s="2">
        <v>46155</v>
      </c>
      <c r="G20" s="2">
        <v>46173</v>
      </c>
      <c r="H20" s="24" t="s">
        <v>59</v>
      </c>
      <c r="I20" s="27">
        <f t="shared" si="0"/>
        <v>2</v>
      </c>
      <c r="J20" s="13">
        <v>2</v>
      </c>
      <c r="L20" s="13"/>
      <c r="M20" s="13"/>
    </row>
    <row r="21" spans="1:13" x14ac:dyDescent="0.25">
      <c r="A21">
        <f t="shared" si="1"/>
        <v>13</v>
      </c>
      <c r="B21" s="43" t="s">
        <v>118</v>
      </c>
      <c r="C21" t="s">
        <v>86</v>
      </c>
      <c r="D21" s="24" t="s">
        <v>41</v>
      </c>
      <c r="E21" s="2">
        <v>46146</v>
      </c>
      <c r="F21" s="2">
        <v>46155</v>
      </c>
      <c r="G21" s="2">
        <v>46173</v>
      </c>
      <c r="H21" s="24" t="s">
        <v>59</v>
      </c>
      <c r="I21" s="27">
        <f t="shared" si="0"/>
        <v>2</v>
      </c>
      <c r="J21" s="13">
        <v>2</v>
      </c>
      <c r="L21" s="13"/>
      <c r="M21" s="13"/>
    </row>
    <row r="22" spans="1:13" x14ac:dyDescent="0.25">
      <c r="A22">
        <f t="shared" si="1"/>
        <v>14</v>
      </c>
      <c r="B22" s="43" t="s">
        <v>118</v>
      </c>
      <c r="C22" t="s">
        <v>87</v>
      </c>
      <c r="D22" s="24" t="s">
        <v>41</v>
      </c>
      <c r="E22" s="2">
        <v>46146</v>
      </c>
      <c r="F22" s="2">
        <v>46155</v>
      </c>
      <c r="G22" s="2">
        <v>46173</v>
      </c>
      <c r="H22" s="24" t="s">
        <v>59</v>
      </c>
      <c r="I22" s="27">
        <f t="shared" si="0"/>
        <v>2</v>
      </c>
      <c r="J22" s="13">
        <v>2</v>
      </c>
      <c r="L22" s="13"/>
      <c r="M22" s="13"/>
    </row>
    <row r="23" spans="1:13" x14ac:dyDescent="0.25">
      <c r="A23">
        <f t="shared" si="1"/>
        <v>15</v>
      </c>
      <c r="B23" s="43" t="s">
        <v>118</v>
      </c>
      <c r="C23" t="s">
        <v>88</v>
      </c>
      <c r="D23" s="24" t="s">
        <v>41</v>
      </c>
      <c r="E23" s="2">
        <v>46146</v>
      </c>
      <c r="F23" s="2">
        <v>46173</v>
      </c>
      <c r="G23" s="2">
        <v>46173</v>
      </c>
      <c r="H23" s="24" t="s">
        <v>59</v>
      </c>
      <c r="I23" s="27">
        <f t="shared" si="0"/>
        <v>2</v>
      </c>
      <c r="J23" s="13">
        <v>2</v>
      </c>
      <c r="L23" s="13"/>
      <c r="M23" s="13"/>
    </row>
    <row r="24" spans="1:13" x14ac:dyDescent="0.25">
      <c r="A24">
        <f t="shared" si="1"/>
        <v>16</v>
      </c>
      <c r="B24" s="43" t="s">
        <v>118</v>
      </c>
      <c r="C24" t="s">
        <v>89</v>
      </c>
      <c r="D24" s="24" t="s">
        <v>41</v>
      </c>
      <c r="E24" s="2">
        <v>46146</v>
      </c>
      <c r="F24" s="2">
        <v>46173</v>
      </c>
      <c r="G24" s="2">
        <v>46173</v>
      </c>
      <c r="H24" s="24" t="s">
        <v>59</v>
      </c>
      <c r="I24" s="27">
        <f t="shared" si="0"/>
        <v>2</v>
      </c>
      <c r="J24" s="13">
        <v>2</v>
      </c>
      <c r="L24" s="13"/>
      <c r="M24" s="13"/>
    </row>
    <row r="25" spans="1:13" x14ac:dyDescent="0.25">
      <c r="A25">
        <f t="shared" si="1"/>
        <v>17</v>
      </c>
      <c r="B25" s="43" t="s">
        <v>118</v>
      </c>
      <c r="C25" t="s">
        <v>90</v>
      </c>
      <c r="D25" s="24" t="s">
        <v>41</v>
      </c>
      <c r="E25" s="2">
        <v>46146</v>
      </c>
      <c r="F25" s="2">
        <v>46173</v>
      </c>
      <c r="G25" s="2">
        <v>46173</v>
      </c>
      <c r="H25" s="24" t="s">
        <v>59</v>
      </c>
      <c r="I25" s="27">
        <f t="shared" si="0"/>
        <v>2</v>
      </c>
      <c r="J25" s="13">
        <v>2</v>
      </c>
      <c r="L25" s="13"/>
      <c r="M25" s="13"/>
    </row>
    <row r="26" spans="1:13" x14ac:dyDescent="0.25">
      <c r="A26">
        <f t="shared" si="1"/>
        <v>18</v>
      </c>
      <c r="B26" s="43" t="s">
        <v>118</v>
      </c>
      <c r="C26" t="s">
        <v>91</v>
      </c>
      <c r="D26" s="24" t="s">
        <v>41</v>
      </c>
      <c r="E26" s="2">
        <v>46146</v>
      </c>
      <c r="F26" s="2">
        <v>46173</v>
      </c>
      <c r="G26" s="2">
        <v>46173</v>
      </c>
      <c r="H26" s="24" t="s">
        <v>59</v>
      </c>
      <c r="I26" s="27">
        <f t="shared" si="0"/>
        <v>2</v>
      </c>
      <c r="J26" s="13">
        <v>2</v>
      </c>
      <c r="L26" s="13"/>
      <c r="M26" s="13"/>
    </row>
    <row r="27" spans="1:13" x14ac:dyDescent="0.25">
      <c r="A27">
        <f t="shared" si="1"/>
        <v>19</v>
      </c>
      <c r="B27" s="43" t="s">
        <v>118</v>
      </c>
      <c r="C27" t="s">
        <v>92</v>
      </c>
      <c r="D27" s="24" t="s">
        <v>41</v>
      </c>
      <c r="E27" s="2">
        <v>46146</v>
      </c>
      <c r="F27" s="2">
        <v>46173</v>
      </c>
      <c r="G27" s="2">
        <v>46173</v>
      </c>
      <c r="H27" s="24" t="s">
        <v>59</v>
      </c>
      <c r="I27" s="27">
        <f t="shared" si="0"/>
        <v>1.5</v>
      </c>
      <c r="J27" s="13"/>
      <c r="K27" s="13">
        <v>1.5</v>
      </c>
      <c r="L27" s="13"/>
      <c r="M27" s="13"/>
    </row>
    <row r="28" spans="1:13" x14ac:dyDescent="0.25">
      <c r="A28">
        <f t="shared" si="1"/>
        <v>20</v>
      </c>
      <c r="B28" s="43" t="s">
        <v>118</v>
      </c>
      <c r="C28" t="s">
        <v>93</v>
      </c>
      <c r="D28" s="24" t="s">
        <v>41</v>
      </c>
      <c r="E28" s="2">
        <v>46146</v>
      </c>
      <c r="F28" s="2">
        <v>46173</v>
      </c>
      <c r="G28" s="2">
        <v>46173</v>
      </c>
      <c r="H28" s="24" t="s">
        <v>59</v>
      </c>
      <c r="I28" s="27">
        <f t="shared" ref="I28:I43" si="2">SUM(J28:N28)</f>
        <v>1.75</v>
      </c>
      <c r="J28" s="13"/>
      <c r="K28" s="13">
        <v>1.75</v>
      </c>
      <c r="L28" s="13"/>
      <c r="M28" s="13"/>
    </row>
    <row r="29" spans="1:13" x14ac:dyDescent="0.25">
      <c r="A29">
        <f t="shared" si="1"/>
        <v>21</v>
      </c>
      <c r="B29" s="43" t="s">
        <v>118</v>
      </c>
      <c r="C29" t="s">
        <v>94</v>
      </c>
      <c r="D29" s="24" t="s">
        <v>41</v>
      </c>
      <c r="E29" s="2">
        <v>46146</v>
      </c>
      <c r="F29" s="2">
        <v>46173</v>
      </c>
      <c r="G29" s="2">
        <v>46173</v>
      </c>
      <c r="H29" s="24" t="s">
        <v>59</v>
      </c>
      <c r="I29" s="27">
        <f t="shared" si="2"/>
        <v>1.25</v>
      </c>
      <c r="J29" s="13"/>
      <c r="K29" s="13">
        <v>1.25</v>
      </c>
      <c r="L29" s="13"/>
      <c r="M29" s="13"/>
    </row>
    <row r="30" spans="1:13" x14ac:dyDescent="0.25">
      <c r="A30">
        <f t="shared" si="1"/>
        <v>22</v>
      </c>
      <c r="B30" s="43" t="s">
        <v>118</v>
      </c>
      <c r="C30" t="s">
        <v>95</v>
      </c>
      <c r="D30" s="24" t="s">
        <v>41</v>
      </c>
      <c r="E30" s="2">
        <v>46146</v>
      </c>
      <c r="F30" s="2">
        <v>46173</v>
      </c>
      <c r="G30" s="2">
        <v>46173</v>
      </c>
      <c r="H30" s="24" t="s">
        <v>59</v>
      </c>
      <c r="I30" s="27">
        <f t="shared" si="2"/>
        <v>1</v>
      </c>
      <c r="J30" s="13"/>
      <c r="K30" s="13">
        <v>1</v>
      </c>
      <c r="L30" s="13"/>
      <c r="M30" s="13"/>
    </row>
    <row r="31" spans="1:13" x14ac:dyDescent="0.25">
      <c r="A31">
        <f t="shared" si="1"/>
        <v>23</v>
      </c>
      <c r="B31" s="43" t="s">
        <v>118</v>
      </c>
      <c r="C31" t="s">
        <v>115</v>
      </c>
      <c r="D31" s="24" t="s">
        <v>41</v>
      </c>
      <c r="E31" s="2">
        <v>46146</v>
      </c>
      <c r="F31" s="2">
        <v>46173</v>
      </c>
      <c r="G31" s="2">
        <v>46173</v>
      </c>
      <c r="H31" s="24" t="s">
        <v>59</v>
      </c>
      <c r="I31" s="27">
        <f>SUM(J31:N31)</f>
        <v>0.5</v>
      </c>
      <c r="J31" s="13"/>
      <c r="K31" s="13">
        <v>0.5</v>
      </c>
      <c r="L31" s="13"/>
      <c r="M31" s="13"/>
    </row>
    <row r="32" spans="1:13" x14ac:dyDescent="0.25">
      <c r="A32">
        <f t="shared" si="1"/>
        <v>24</v>
      </c>
      <c r="B32" s="43" t="s">
        <v>118</v>
      </c>
      <c r="C32" t="s">
        <v>96</v>
      </c>
      <c r="D32" s="24" t="s">
        <v>41</v>
      </c>
      <c r="E32" s="2">
        <v>46146</v>
      </c>
      <c r="F32" s="2">
        <v>46173</v>
      </c>
      <c r="G32" s="2">
        <v>46173</v>
      </c>
      <c r="H32" s="24" t="s">
        <v>59</v>
      </c>
      <c r="I32" s="27">
        <f t="shared" si="2"/>
        <v>1.5</v>
      </c>
      <c r="J32" s="13"/>
      <c r="K32" s="13">
        <v>1.5</v>
      </c>
      <c r="L32" s="13"/>
      <c r="M32" s="13"/>
    </row>
    <row r="33" spans="1:13" x14ac:dyDescent="0.25">
      <c r="A33">
        <f t="shared" si="1"/>
        <v>25</v>
      </c>
      <c r="B33" s="43" t="s">
        <v>118</v>
      </c>
      <c r="C33" t="s">
        <v>97</v>
      </c>
      <c r="D33" s="24" t="s">
        <v>41</v>
      </c>
      <c r="E33" s="2">
        <v>46146</v>
      </c>
      <c r="F33" s="2">
        <v>46173</v>
      </c>
      <c r="G33" s="2">
        <v>46173</v>
      </c>
      <c r="H33" s="24" t="s">
        <v>59</v>
      </c>
      <c r="I33" s="27">
        <f t="shared" si="2"/>
        <v>3</v>
      </c>
      <c r="J33" s="13"/>
      <c r="K33" s="13">
        <v>3</v>
      </c>
      <c r="L33" s="13"/>
      <c r="M33" s="13"/>
    </row>
    <row r="34" spans="1:13" x14ac:dyDescent="0.25">
      <c r="A34">
        <f t="shared" si="1"/>
        <v>26</v>
      </c>
      <c r="B34" s="43" t="s">
        <v>118</v>
      </c>
      <c r="C34" t="s">
        <v>98</v>
      </c>
      <c r="D34" s="24" t="s">
        <v>41</v>
      </c>
      <c r="E34" s="2">
        <v>46146</v>
      </c>
      <c r="F34" s="2">
        <v>46173</v>
      </c>
      <c r="G34" s="2">
        <v>46173</v>
      </c>
      <c r="H34" s="24" t="s">
        <v>59</v>
      </c>
      <c r="I34" s="27">
        <f t="shared" si="2"/>
        <v>1.5</v>
      </c>
      <c r="J34" s="13"/>
      <c r="K34" s="13">
        <v>1.5</v>
      </c>
      <c r="L34" s="13"/>
      <c r="M34" s="13"/>
    </row>
    <row r="35" spans="1:13" x14ac:dyDescent="0.25">
      <c r="A35">
        <f t="shared" si="1"/>
        <v>27</v>
      </c>
      <c r="B35" s="43" t="s">
        <v>118</v>
      </c>
      <c r="C35" t="s">
        <v>99</v>
      </c>
      <c r="D35" s="24" t="s">
        <v>41</v>
      </c>
      <c r="E35" s="2">
        <v>46146</v>
      </c>
      <c r="F35" s="2">
        <v>46173</v>
      </c>
      <c r="G35" s="2">
        <v>46173</v>
      </c>
      <c r="H35" s="24" t="s">
        <v>59</v>
      </c>
      <c r="I35" s="27">
        <f t="shared" si="2"/>
        <v>1.5</v>
      </c>
      <c r="K35" s="13">
        <v>1.5</v>
      </c>
      <c r="L35" s="13"/>
      <c r="M35" s="13"/>
    </row>
    <row r="36" spans="1:13" x14ac:dyDescent="0.25">
      <c r="A36">
        <f t="shared" si="1"/>
        <v>28</v>
      </c>
      <c r="B36" s="43" t="s">
        <v>118</v>
      </c>
      <c r="C36" t="s">
        <v>100</v>
      </c>
      <c r="D36" s="24" t="s">
        <v>41</v>
      </c>
      <c r="E36" s="2">
        <v>46146</v>
      </c>
      <c r="F36" s="2">
        <v>46173</v>
      </c>
      <c r="G36" s="2">
        <v>46173</v>
      </c>
      <c r="H36" s="24" t="s">
        <v>59</v>
      </c>
      <c r="I36" s="27">
        <f t="shared" si="2"/>
        <v>2</v>
      </c>
      <c r="J36" s="13"/>
      <c r="K36" s="13">
        <v>2</v>
      </c>
      <c r="L36" s="13"/>
      <c r="M36" s="13"/>
    </row>
    <row r="37" spans="1:13" x14ac:dyDescent="0.25">
      <c r="A37">
        <f t="shared" si="1"/>
        <v>29</v>
      </c>
      <c r="B37" s="43" t="s">
        <v>118</v>
      </c>
      <c r="C37" t="s">
        <v>101</v>
      </c>
      <c r="D37" s="24" t="s">
        <v>41</v>
      </c>
      <c r="E37" s="2">
        <v>46146</v>
      </c>
      <c r="F37" s="2">
        <v>46173</v>
      </c>
      <c r="G37" s="2">
        <v>46173</v>
      </c>
      <c r="H37" s="24" t="s">
        <v>59</v>
      </c>
      <c r="I37" s="27">
        <f t="shared" si="2"/>
        <v>2</v>
      </c>
      <c r="J37" s="13"/>
      <c r="K37" s="13">
        <v>2</v>
      </c>
      <c r="L37" s="13"/>
      <c r="M37" s="13"/>
    </row>
    <row r="38" spans="1:13" x14ac:dyDescent="0.25">
      <c r="A38">
        <f t="shared" si="1"/>
        <v>30</v>
      </c>
      <c r="B38" s="43" t="s">
        <v>118</v>
      </c>
      <c r="C38" t="s">
        <v>102</v>
      </c>
      <c r="D38" s="24" t="s">
        <v>41</v>
      </c>
      <c r="E38" s="2">
        <v>46146</v>
      </c>
      <c r="F38" s="2">
        <v>46173</v>
      </c>
      <c r="G38" s="2">
        <v>46173</v>
      </c>
      <c r="H38" s="24" t="s">
        <v>59</v>
      </c>
      <c r="I38" s="27">
        <f t="shared" si="2"/>
        <v>4.5</v>
      </c>
      <c r="J38" s="13">
        <v>1.5</v>
      </c>
      <c r="K38" s="13">
        <v>3</v>
      </c>
      <c r="L38" s="13"/>
      <c r="M38" s="13"/>
    </row>
    <row r="39" spans="1:13" x14ac:dyDescent="0.25">
      <c r="A39">
        <f t="shared" si="1"/>
        <v>31</v>
      </c>
      <c r="B39" s="43" t="s">
        <v>118</v>
      </c>
      <c r="C39" t="s">
        <v>103</v>
      </c>
      <c r="D39" s="24" t="s">
        <v>41</v>
      </c>
      <c r="E39" s="2">
        <v>46146</v>
      </c>
      <c r="F39" s="2">
        <v>46173</v>
      </c>
      <c r="G39" s="2">
        <v>46173</v>
      </c>
      <c r="H39" s="24" t="s">
        <v>59</v>
      </c>
      <c r="I39" s="27">
        <f t="shared" si="2"/>
        <v>1.75</v>
      </c>
      <c r="J39" s="13"/>
      <c r="K39" s="13">
        <v>1.75</v>
      </c>
      <c r="L39" s="13"/>
      <c r="M39" s="13"/>
    </row>
    <row r="40" spans="1:13" x14ac:dyDescent="0.25">
      <c r="A40">
        <f t="shared" si="1"/>
        <v>32</v>
      </c>
      <c r="B40" s="43" t="s">
        <v>118</v>
      </c>
      <c r="C40" t="s">
        <v>104</v>
      </c>
      <c r="D40" s="24" t="s">
        <v>41</v>
      </c>
      <c r="E40" s="2">
        <v>46146</v>
      </c>
      <c r="F40" s="2">
        <v>46173</v>
      </c>
      <c r="G40" s="2">
        <v>46173</v>
      </c>
      <c r="H40" s="24" t="s">
        <v>59</v>
      </c>
      <c r="I40" s="27">
        <f t="shared" si="2"/>
        <v>1.5</v>
      </c>
      <c r="J40" s="13"/>
      <c r="K40" s="13">
        <v>1.5</v>
      </c>
      <c r="L40" s="13"/>
      <c r="M40" s="13"/>
    </row>
    <row r="41" spans="1:13" x14ac:dyDescent="0.25">
      <c r="A41">
        <f t="shared" si="1"/>
        <v>33</v>
      </c>
      <c r="B41" s="43" t="s">
        <v>118</v>
      </c>
      <c r="C41" t="s">
        <v>105</v>
      </c>
      <c r="D41" s="24" t="s">
        <v>41</v>
      </c>
      <c r="E41" s="2">
        <v>46146</v>
      </c>
      <c r="F41" s="2">
        <v>46173</v>
      </c>
      <c r="G41" s="2">
        <v>46173</v>
      </c>
      <c r="H41" s="24" t="s">
        <v>59</v>
      </c>
      <c r="I41" s="27">
        <f t="shared" si="2"/>
        <v>1.25</v>
      </c>
      <c r="J41" s="13"/>
      <c r="K41" s="13">
        <v>1.25</v>
      </c>
      <c r="L41" s="13"/>
      <c r="M41" s="13"/>
    </row>
    <row r="42" spans="1:13" x14ac:dyDescent="0.25">
      <c r="A42">
        <f t="shared" si="1"/>
        <v>34</v>
      </c>
      <c r="B42" s="43" t="s">
        <v>118</v>
      </c>
      <c r="C42" t="s">
        <v>106</v>
      </c>
      <c r="D42" s="24" t="s">
        <v>41</v>
      </c>
      <c r="E42" s="2">
        <v>46146</v>
      </c>
      <c r="F42" s="2">
        <v>46173</v>
      </c>
      <c r="G42" s="2">
        <v>46173</v>
      </c>
      <c r="H42" s="24" t="s">
        <v>59</v>
      </c>
      <c r="I42" s="27">
        <f t="shared" si="2"/>
        <v>2.5</v>
      </c>
      <c r="J42" s="13"/>
      <c r="K42" s="13">
        <v>2.5</v>
      </c>
      <c r="L42" s="13"/>
      <c r="M42" s="13"/>
    </row>
    <row r="43" spans="1:13" x14ac:dyDescent="0.25">
      <c r="A43">
        <f t="shared" si="1"/>
        <v>35</v>
      </c>
      <c r="B43" s="43" t="s">
        <v>118</v>
      </c>
      <c r="C43" t="s">
        <v>107</v>
      </c>
      <c r="D43" s="24" t="s">
        <v>41</v>
      </c>
      <c r="E43" s="2">
        <v>46146</v>
      </c>
      <c r="F43" s="2">
        <v>46173</v>
      </c>
      <c r="G43" s="2">
        <v>46173</v>
      </c>
      <c r="H43" s="24" t="s">
        <v>59</v>
      </c>
      <c r="I43" s="27">
        <f t="shared" si="2"/>
        <v>1.5</v>
      </c>
      <c r="J43" s="13"/>
      <c r="K43" s="13">
        <v>1.5</v>
      </c>
      <c r="L43" s="13"/>
      <c r="M43" s="13"/>
    </row>
    <row r="44" spans="1:13" x14ac:dyDescent="0.25">
      <c r="A44">
        <f t="shared" si="1"/>
        <v>36</v>
      </c>
      <c r="B44" s="43" t="s">
        <v>118</v>
      </c>
      <c r="C44" t="s">
        <v>108</v>
      </c>
      <c r="D44" s="24" t="s">
        <v>41</v>
      </c>
      <c r="E44" s="2">
        <v>46146</v>
      </c>
      <c r="F44" s="2">
        <v>46173</v>
      </c>
      <c r="G44" s="2">
        <v>46173</v>
      </c>
      <c r="H44" s="24" t="s">
        <v>59</v>
      </c>
      <c r="I44" s="27">
        <f t="shared" ref="I44:I51" si="3">SUM(J44:N44)</f>
        <v>1</v>
      </c>
      <c r="J44" s="13"/>
      <c r="K44" s="13">
        <v>1</v>
      </c>
      <c r="L44" s="13"/>
      <c r="M44" s="13"/>
    </row>
    <row r="45" spans="1:13" x14ac:dyDescent="0.25">
      <c r="A45">
        <f t="shared" si="1"/>
        <v>37</v>
      </c>
      <c r="B45" s="43" t="s">
        <v>118</v>
      </c>
      <c r="C45" t="s">
        <v>109</v>
      </c>
      <c r="D45" s="24" t="s">
        <v>41</v>
      </c>
      <c r="E45" s="2"/>
      <c r="F45" s="2"/>
      <c r="G45" s="2"/>
      <c r="H45" s="24" t="s">
        <v>59</v>
      </c>
      <c r="I45" s="27">
        <f t="shared" si="3"/>
        <v>0</v>
      </c>
      <c r="J45" s="13"/>
      <c r="K45" s="13"/>
      <c r="L45" s="13"/>
      <c r="M45" s="13"/>
    </row>
    <row r="46" spans="1:13" x14ac:dyDescent="0.25">
      <c r="A46">
        <f t="shared" si="1"/>
        <v>38</v>
      </c>
      <c r="B46" s="43" t="s">
        <v>118</v>
      </c>
      <c r="C46" t="s">
        <v>110</v>
      </c>
      <c r="D46" s="24" t="s">
        <v>41</v>
      </c>
      <c r="E46" s="2"/>
      <c r="F46" s="2"/>
      <c r="G46" s="2"/>
      <c r="H46" s="24" t="s">
        <v>59</v>
      </c>
      <c r="I46" s="27">
        <f t="shared" si="3"/>
        <v>0</v>
      </c>
      <c r="J46" s="13"/>
      <c r="K46" s="13"/>
      <c r="L46" s="13"/>
      <c r="M46" s="13"/>
    </row>
    <row r="47" spans="1:13" x14ac:dyDescent="0.25">
      <c r="A47">
        <f t="shared" si="1"/>
        <v>39</v>
      </c>
      <c r="B47" s="43" t="s">
        <v>118</v>
      </c>
      <c r="C47" t="s">
        <v>111</v>
      </c>
      <c r="D47" s="24" t="s">
        <v>41</v>
      </c>
      <c r="E47" s="2"/>
      <c r="F47" s="2"/>
      <c r="G47" s="2"/>
      <c r="H47" s="24" t="s">
        <v>59</v>
      </c>
      <c r="I47" s="27">
        <f t="shared" si="3"/>
        <v>0</v>
      </c>
      <c r="J47" s="13"/>
      <c r="K47" s="13"/>
      <c r="L47" s="13"/>
      <c r="M47" s="13"/>
    </row>
    <row r="48" spans="1:13" x14ac:dyDescent="0.25">
      <c r="A48">
        <f t="shared" si="1"/>
        <v>40</v>
      </c>
      <c r="B48" s="43" t="s">
        <v>118</v>
      </c>
      <c r="C48" t="s">
        <v>112</v>
      </c>
      <c r="D48" s="24" t="s">
        <v>41</v>
      </c>
      <c r="E48" s="2"/>
      <c r="F48" s="2"/>
      <c r="G48" s="2"/>
      <c r="H48" s="24" t="s">
        <v>59</v>
      </c>
      <c r="I48" s="27">
        <f t="shared" si="3"/>
        <v>0</v>
      </c>
      <c r="J48" s="13"/>
      <c r="K48" s="13"/>
      <c r="L48" s="13"/>
      <c r="M48" s="13"/>
    </row>
    <row r="49" spans="1:14" x14ac:dyDescent="0.25">
      <c r="A49">
        <f t="shared" si="1"/>
        <v>41</v>
      </c>
      <c r="B49" s="43" t="s">
        <v>118</v>
      </c>
      <c r="C49" t="s">
        <v>113</v>
      </c>
      <c r="D49" s="24" t="s">
        <v>41</v>
      </c>
      <c r="E49" s="2"/>
      <c r="F49" s="2"/>
      <c r="G49" s="2"/>
      <c r="H49" s="24" t="s">
        <v>59</v>
      </c>
      <c r="I49" s="27">
        <f t="shared" si="3"/>
        <v>0</v>
      </c>
      <c r="J49" s="13"/>
      <c r="K49" s="13"/>
      <c r="L49" s="13"/>
      <c r="M49" s="13"/>
    </row>
    <row r="50" spans="1:14" x14ac:dyDescent="0.25">
      <c r="A50">
        <f t="shared" si="1"/>
        <v>42</v>
      </c>
      <c r="B50" s="43" t="s">
        <v>118</v>
      </c>
      <c r="C50" t="s">
        <v>114</v>
      </c>
      <c r="D50" s="24" t="s">
        <v>41</v>
      </c>
      <c r="E50" s="2"/>
      <c r="F50" s="2"/>
      <c r="G50" s="2"/>
      <c r="H50" s="24" t="s">
        <v>59</v>
      </c>
      <c r="I50" s="27">
        <f t="shared" si="3"/>
        <v>0</v>
      </c>
      <c r="J50" s="13"/>
      <c r="K50" s="13"/>
      <c r="L50" s="13"/>
      <c r="M50" s="13"/>
    </row>
    <row r="51" spans="1:14" x14ac:dyDescent="0.25">
      <c r="A51">
        <f t="shared" si="1"/>
        <v>43</v>
      </c>
      <c r="B51" s="43" t="s">
        <v>118</v>
      </c>
      <c r="C51" t="s">
        <v>109</v>
      </c>
      <c r="D51" s="24" t="s">
        <v>41</v>
      </c>
      <c r="E51" s="2"/>
      <c r="F51" s="2"/>
      <c r="G51" s="2"/>
      <c r="H51" s="24" t="s">
        <v>59</v>
      </c>
      <c r="I51" s="27">
        <f t="shared" si="3"/>
        <v>0</v>
      </c>
      <c r="J51" s="13"/>
      <c r="K51" s="13"/>
      <c r="L51" s="13"/>
      <c r="M51" s="13"/>
    </row>
    <row r="52" spans="1:14" x14ac:dyDescent="0.25">
      <c r="D52" s="24"/>
      <c r="H52" s="24"/>
      <c r="I52" s="24"/>
    </row>
    <row r="53" spans="1:14" ht="15.75" thickBot="1" x14ac:dyDescent="0.3">
      <c r="A53" s="12" t="s">
        <v>19</v>
      </c>
      <c r="B53" s="8"/>
      <c r="C53" s="8"/>
      <c r="D53" s="8"/>
      <c r="E53" s="8"/>
      <c r="F53" s="8"/>
      <c r="G53" s="8"/>
      <c r="H53" s="8"/>
      <c r="I53" s="42">
        <f>SUM(I8:I44)</f>
        <v>68.25</v>
      </c>
      <c r="J53" s="42">
        <f>SUM(J8:J44)</f>
        <v>38.25</v>
      </c>
      <c r="K53" s="42">
        <f>SUM(K8:K44)</f>
        <v>30</v>
      </c>
      <c r="L53" s="42">
        <f t="shared" ref="L53:N53" si="4">SUM(L8:L44)</f>
        <v>0</v>
      </c>
      <c r="M53" s="42">
        <f t="shared" si="4"/>
        <v>0</v>
      </c>
      <c r="N53" s="42">
        <f t="shared" si="4"/>
        <v>0</v>
      </c>
    </row>
    <row r="54" spans="1:14" ht="15.75" thickTop="1" x14ac:dyDescent="0.25">
      <c r="I54" s="27"/>
      <c r="J54" s="13"/>
      <c r="K54" s="13"/>
      <c r="L54" s="13"/>
      <c r="M54" s="13"/>
      <c r="N54" s="13"/>
    </row>
    <row r="55" spans="1:14" x14ac:dyDescent="0.25">
      <c r="A55" s="1" t="s">
        <v>20</v>
      </c>
      <c r="I55" s="27"/>
      <c r="J55" s="13"/>
      <c r="K55" s="13"/>
      <c r="L55" s="13"/>
      <c r="M55" s="13"/>
      <c r="N55" s="13"/>
    </row>
    <row r="56" spans="1:14" s="29" customFormat="1" x14ac:dyDescent="0.25">
      <c r="B56" s="29" t="s">
        <v>21</v>
      </c>
      <c r="D56" s="32"/>
      <c r="I56" s="30">
        <f>SUM(J56:N56)</f>
        <v>8.75</v>
      </c>
      <c r="J56" s="31">
        <f t="shared" ref="J56:N56" si="5">0.35*5</f>
        <v>1.75</v>
      </c>
      <c r="K56" s="31">
        <f t="shared" si="5"/>
        <v>1.75</v>
      </c>
      <c r="L56" s="31">
        <f t="shared" si="5"/>
        <v>1.75</v>
      </c>
      <c r="M56" s="31">
        <f t="shared" si="5"/>
        <v>1.75</v>
      </c>
      <c r="N56" s="31">
        <f t="shared" si="5"/>
        <v>1.75</v>
      </c>
    </row>
    <row r="57" spans="1:14" x14ac:dyDescent="0.25">
      <c r="B57" t="s">
        <v>22</v>
      </c>
      <c r="D57" s="33"/>
      <c r="I57" s="27">
        <f t="shared" ref="I57:I60" si="6">SUM(J57:N57)</f>
        <v>0</v>
      </c>
      <c r="J57" s="13"/>
      <c r="K57" s="13" t="s">
        <v>130</v>
      </c>
      <c r="L57" s="13"/>
      <c r="M57" s="13"/>
      <c r="N57" s="13"/>
    </row>
    <row r="58" spans="1:14" s="34" customFormat="1" x14ac:dyDescent="0.25">
      <c r="B58" s="34" t="s">
        <v>23</v>
      </c>
      <c r="I58" s="27">
        <f t="shared" si="6"/>
        <v>0</v>
      </c>
      <c r="J58" s="35"/>
      <c r="K58" s="35"/>
      <c r="L58" s="35"/>
      <c r="M58" s="35"/>
      <c r="N58" s="35"/>
    </row>
    <row r="59" spans="1:14" x14ac:dyDescent="0.25">
      <c r="B59" t="s">
        <v>24</v>
      </c>
      <c r="D59" s="33"/>
      <c r="I59" s="27">
        <f t="shared" si="6"/>
        <v>0</v>
      </c>
      <c r="J59" s="13"/>
      <c r="K59" s="13"/>
      <c r="L59" s="13"/>
      <c r="M59" s="13"/>
      <c r="N59" s="13"/>
    </row>
    <row r="60" spans="1:14" x14ac:dyDescent="0.25">
      <c r="B60" t="s">
        <v>25</v>
      </c>
      <c r="I60" s="27">
        <f t="shared" si="6"/>
        <v>8.25</v>
      </c>
      <c r="J60" s="13"/>
      <c r="K60" s="13">
        <v>8.25</v>
      </c>
      <c r="L60" s="13"/>
      <c r="M60" s="13"/>
      <c r="N60" s="13"/>
    </row>
    <row r="61" spans="1:14" x14ac:dyDescent="0.25">
      <c r="I61" s="24"/>
    </row>
    <row r="62" spans="1:14" ht="15.75" thickBot="1" x14ac:dyDescent="0.3">
      <c r="A62" s="12" t="s">
        <v>26</v>
      </c>
      <c r="B62" s="8"/>
      <c r="C62" s="8"/>
      <c r="D62" s="8"/>
      <c r="E62" s="8"/>
      <c r="F62" s="8"/>
      <c r="G62" s="8"/>
      <c r="H62" s="8"/>
      <c r="I62" s="28">
        <f t="shared" ref="I62:N62" si="7">SUM(I56:I61)</f>
        <v>17</v>
      </c>
      <c r="J62" s="14">
        <f t="shared" si="7"/>
        <v>1.75</v>
      </c>
      <c r="K62" s="14">
        <f t="shared" si="7"/>
        <v>10</v>
      </c>
      <c r="L62" s="14">
        <f t="shared" si="7"/>
        <v>1.75</v>
      </c>
      <c r="M62" s="14">
        <f t="shared" si="7"/>
        <v>1.75</v>
      </c>
      <c r="N62" s="14">
        <f t="shared" si="7"/>
        <v>1.75</v>
      </c>
    </row>
    <row r="63" spans="1:14" ht="15.75" thickTop="1" x14ac:dyDescent="0.25">
      <c r="I63" s="27"/>
      <c r="J63" s="13"/>
      <c r="K63" s="13"/>
      <c r="L63" s="13"/>
      <c r="M63" s="13"/>
      <c r="N63" s="13"/>
    </row>
    <row r="64" spans="1:14" ht="15.75" thickBot="1" x14ac:dyDescent="0.3">
      <c r="A64" s="12" t="s">
        <v>27</v>
      </c>
      <c r="B64" s="8"/>
      <c r="C64" s="8"/>
      <c r="D64" s="8"/>
      <c r="E64" s="8"/>
      <c r="F64" s="8"/>
      <c r="G64" s="8"/>
      <c r="H64" s="8"/>
      <c r="I64" s="28">
        <f t="shared" ref="I64:N64" si="8">+I62+I53</f>
        <v>85.25</v>
      </c>
      <c r="J64" s="14">
        <f>+J62+J53</f>
        <v>40</v>
      </c>
      <c r="K64" s="14">
        <f t="shared" si="8"/>
        <v>40</v>
      </c>
      <c r="L64" s="14">
        <f t="shared" si="8"/>
        <v>1.75</v>
      </c>
      <c r="M64" s="14">
        <f t="shared" si="8"/>
        <v>1.75</v>
      </c>
      <c r="N64" s="14">
        <f t="shared" si="8"/>
        <v>1.75</v>
      </c>
    </row>
    <row r="65" spans="1:14" ht="15.75" thickTop="1" x14ac:dyDescent="0.25">
      <c r="I65" s="24"/>
    </row>
    <row r="66" spans="1:14" x14ac:dyDescent="0.25">
      <c r="I66" s="24"/>
    </row>
    <row r="67" spans="1:14" ht="15.75" thickBot="1" x14ac:dyDescent="0.3">
      <c r="A67" s="12" t="s">
        <v>28</v>
      </c>
      <c r="B67" s="8"/>
      <c r="C67" s="8"/>
      <c r="D67" s="8"/>
      <c r="E67" s="8"/>
      <c r="F67" s="8"/>
      <c r="G67" s="8"/>
      <c r="H67" s="8"/>
      <c r="I67" s="28"/>
      <c r="J67" s="14">
        <v>40</v>
      </c>
      <c r="K67" s="14">
        <v>40</v>
      </c>
      <c r="L67" s="14">
        <v>40</v>
      </c>
      <c r="M67" s="14">
        <v>40</v>
      </c>
      <c r="N67" s="14">
        <v>40</v>
      </c>
    </row>
    <row r="68" spans="1:14" ht="16.5" thickTop="1" thickBot="1" x14ac:dyDescent="0.3">
      <c r="A68" s="12" t="s">
        <v>29</v>
      </c>
      <c r="B68" s="8"/>
      <c r="C68" s="8"/>
      <c r="D68" s="8"/>
      <c r="E68" s="8"/>
      <c r="F68" s="8"/>
      <c r="G68" s="8"/>
      <c r="H68" s="8"/>
      <c r="I68" s="28"/>
      <c r="J68" s="14">
        <f>+J67-J64</f>
        <v>0</v>
      </c>
      <c r="K68" s="14">
        <f t="shared" ref="K68:M68" si="9">+K67-K64</f>
        <v>0</v>
      </c>
      <c r="L68" s="14">
        <f t="shared" si="9"/>
        <v>38.25</v>
      </c>
      <c r="M68" s="14">
        <f t="shared" si="9"/>
        <v>38.25</v>
      </c>
      <c r="N68" s="14">
        <f t="shared" ref="N68" si="10">+N67-N64</f>
        <v>38.25</v>
      </c>
    </row>
    <row r="69" spans="1:14" ht="15.75" thickTop="1" x14ac:dyDescent="0.25"/>
  </sheetData>
  <protectedRanges>
    <protectedRange sqref="A8:XFD8 C31 A56:C56 E56:I56 A58:C58 E58:H58 A57:H57 A52:C52 M25:XFD35 C38:C51 N36:XFD44 E45:XFD52 A61:XFD61 A59:H60 L9:XFD24 J56:XFD60 J38 H9:I44 I57:I60" name="Range1"/>
    <protectedRange sqref="C9 B9:B51" name="Range1_1"/>
    <protectedRange sqref="D9:D52" name="Range1_2"/>
    <protectedRange sqref="E9:G44" name="Range1_3"/>
    <protectedRange sqref="A9:A51" name="Range1_4"/>
    <protectedRange sqref="L25:L27" name="Range1_6"/>
    <protectedRange sqref="M36:M44" name="Range1_7"/>
    <protectedRange sqref="D56" name="Range1_9"/>
    <protectedRange sqref="D58" name="Range1_10"/>
    <protectedRange sqref="J28 L28" name="Range1_4_3"/>
    <protectedRange sqref="J29:J34 L29:L34" name="Range1_4_4"/>
    <protectedRange sqref="J36:J37 J39:J44 L35:L44 K38" name="Range1_4_5"/>
    <protectedRange sqref="J9:J18 J21:J27 K27" name="Range1_4_6"/>
    <protectedRange sqref="K32:K37 K28:K30" name="Range1_4_7"/>
    <protectedRange sqref="K39:K44" name="Range1_4_8"/>
  </protectedRanges>
  <phoneticPr fontId="10" type="noConversion"/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H9:H52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5"/>
  <sheetViews>
    <sheetView topLeftCell="A18" workbookViewId="0">
      <selection activeCell="C30" sqref="C30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39</v>
      </c>
      <c r="C2" s="22" t="s">
        <v>44</v>
      </c>
    </row>
    <row r="3" spans="2:3" x14ac:dyDescent="0.25">
      <c r="B3" s="19" t="s">
        <v>40</v>
      </c>
      <c r="C3" s="20" t="s">
        <v>45</v>
      </c>
    </row>
    <row r="4" spans="2:3" x14ac:dyDescent="0.25">
      <c r="B4" s="19" t="s">
        <v>46</v>
      </c>
      <c r="C4" s="20" t="s">
        <v>47</v>
      </c>
    </row>
    <row r="5" spans="2:3" x14ac:dyDescent="0.25">
      <c r="B5" s="19" t="s">
        <v>48</v>
      </c>
      <c r="C5" s="20" t="s">
        <v>49</v>
      </c>
    </row>
    <row r="6" spans="2:3" x14ac:dyDescent="0.25">
      <c r="B6" s="19" t="s">
        <v>41</v>
      </c>
      <c r="C6" s="20" t="s">
        <v>50</v>
      </c>
    </row>
    <row r="7" spans="2:3" x14ac:dyDescent="0.25">
      <c r="B7" s="19" t="s">
        <v>51</v>
      </c>
      <c r="C7" s="20" t="s">
        <v>52</v>
      </c>
    </row>
    <row r="8" spans="2:3" x14ac:dyDescent="0.25">
      <c r="B8" s="19" t="s">
        <v>42</v>
      </c>
      <c r="C8" s="20" t="s">
        <v>53</v>
      </c>
    </row>
    <row r="9" spans="2:3" x14ac:dyDescent="0.25">
      <c r="B9" s="19" t="s">
        <v>43</v>
      </c>
      <c r="C9" s="20" t="s">
        <v>54</v>
      </c>
    </row>
    <row r="10" spans="2:3" x14ac:dyDescent="0.25">
      <c r="B10" s="19" t="s">
        <v>72</v>
      </c>
      <c r="C10" s="20" t="s">
        <v>73</v>
      </c>
    </row>
    <row r="11" spans="2:3" x14ac:dyDescent="0.25">
      <c r="B11" s="19" t="s">
        <v>55</v>
      </c>
      <c r="C11" s="20" t="s">
        <v>56</v>
      </c>
    </row>
    <row r="15" spans="2:3" ht="16.5" x14ac:dyDescent="0.25">
      <c r="B15" s="22" t="s">
        <v>57</v>
      </c>
      <c r="C15" s="22" t="s">
        <v>44</v>
      </c>
    </row>
    <row r="16" spans="2:3" x14ac:dyDescent="0.25">
      <c r="B16" s="21" t="s">
        <v>30</v>
      </c>
      <c r="C16" s="20" t="s">
        <v>58</v>
      </c>
    </row>
    <row r="17" spans="2:3" x14ac:dyDescent="0.25">
      <c r="B17" s="21" t="s">
        <v>59</v>
      </c>
      <c r="C17" s="20" t="s">
        <v>60</v>
      </c>
    </row>
    <row r="18" spans="2:3" x14ac:dyDescent="0.25">
      <c r="B18" s="21" t="s">
        <v>38</v>
      </c>
      <c r="C18" s="20" t="s">
        <v>61</v>
      </c>
    </row>
    <row r="19" spans="2:3" x14ac:dyDescent="0.25">
      <c r="B19" s="21" t="s">
        <v>18</v>
      </c>
      <c r="C19" s="20" t="s">
        <v>62</v>
      </c>
    </row>
    <row r="20" spans="2:3" x14ac:dyDescent="0.25">
      <c r="B20" s="21" t="s">
        <v>31</v>
      </c>
      <c r="C20" s="20" t="s">
        <v>63</v>
      </c>
    </row>
    <row r="21" spans="2:3" x14ac:dyDescent="0.25">
      <c r="B21" s="21" t="s">
        <v>32</v>
      </c>
      <c r="C21" s="20" t="s">
        <v>64</v>
      </c>
    </row>
    <row r="22" spans="2:3" x14ac:dyDescent="0.25">
      <c r="B22" s="21" t="s">
        <v>65</v>
      </c>
      <c r="C22" s="20" t="s">
        <v>66</v>
      </c>
    </row>
    <row r="23" spans="2:3" x14ac:dyDescent="0.25">
      <c r="B23" s="21" t="s">
        <v>37</v>
      </c>
      <c r="C23" s="20" t="s">
        <v>67</v>
      </c>
    </row>
    <row r="25" spans="2:3" ht="15.75" thickBot="1" x14ac:dyDescent="0.3"/>
    <row r="26" spans="2:3" x14ac:dyDescent="0.25">
      <c r="B26" s="36" t="s">
        <v>119</v>
      </c>
      <c r="C26" s="37" t="s">
        <v>6</v>
      </c>
    </row>
    <row r="27" spans="2:3" x14ac:dyDescent="0.25">
      <c r="B27" s="38">
        <v>1</v>
      </c>
      <c r="C27" s="39" t="s">
        <v>120</v>
      </c>
    </row>
    <row r="28" spans="2:3" x14ac:dyDescent="0.25">
      <c r="B28" s="38">
        <v>2</v>
      </c>
      <c r="C28" s="39" t="s">
        <v>121</v>
      </c>
    </row>
    <row r="29" spans="2:3" x14ac:dyDescent="0.25">
      <c r="B29" s="38">
        <v>3</v>
      </c>
      <c r="C29" s="39" t="s">
        <v>122</v>
      </c>
    </row>
    <row r="30" spans="2:3" x14ac:dyDescent="0.25">
      <c r="B30" s="38">
        <v>4</v>
      </c>
      <c r="C30" s="39" t="s">
        <v>123</v>
      </c>
    </row>
    <row r="31" spans="2:3" x14ac:dyDescent="0.25">
      <c r="B31" s="38">
        <v>5</v>
      </c>
      <c r="C31" s="39" t="s">
        <v>124</v>
      </c>
    </row>
    <row r="32" spans="2:3" x14ac:dyDescent="0.25">
      <c r="B32" s="38">
        <v>6</v>
      </c>
      <c r="C32" s="39" t="s">
        <v>125</v>
      </c>
    </row>
    <row r="33" spans="2:3" x14ac:dyDescent="0.25">
      <c r="B33" s="38">
        <v>7</v>
      </c>
      <c r="C33" s="39" t="s">
        <v>126</v>
      </c>
    </row>
    <row r="34" spans="2:3" x14ac:dyDescent="0.25">
      <c r="B34" s="38">
        <v>8</v>
      </c>
      <c r="C34" s="39" t="s">
        <v>127</v>
      </c>
    </row>
    <row r="35" spans="2:3" ht="15.75" thickBot="1" x14ac:dyDescent="0.3">
      <c r="B35" s="40">
        <v>9</v>
      </c>
      <c r="C35" s="41" t="s">
        <v>118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6" sqref="A16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33</v>
      </c>
    </row>
    <row r="2" spans="1:1" s="16" customFormat="1" ht="15.75" x14ac:dyDescent="0.25">
      <c r="A2" s="17"/>
    </row>
    <row r="3" spans="1:1" s="16" customFormat="1" ht="15.75" x14ac:dyDescent="0.25">
      <c r="A3" s="15" t="s">
        <v>70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34</v>
      </c>
    </row>
    <row r="8" spans="1:1" ht="15.75" x14ac:dyDescent="0.25">
      <c r="A8" s="15" t="s">
        <v>71</v>
      </c>
    </row>
    <row r="9" spans="1:1" ht="15.75" x14ac:dyDescent="0.25">
      <c r="A9" s="15" t="s">
        <v>69</v>
      </c>
    </row>
    <row r="10" spans="1:1" ht="15.75" x14ac:dyDescent="0.25">
      <c r="A10" s="15" t="s">
        <v>35</v>
      </c>
    </row>
    <row r="11" spans="1:1" ht="15.75" x14ac:dyDescent="0.25">
      <c r="A11" s="15" t="s">
        <v>36</v>
      </c>
    </row>
    <row r="12" spans="1:1" ht="15.75" x14ac:dyDescent="0.25">
      <c r="A12" s="15" t="s">
        <v>68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Sandeep Chavda</cp:lastModifiedBy>
  <cp:revision/>
  <dcterms:created xsi:type="dcterms:W3CDTF">2015-06-05T18:17:20Z</dcterms:created>
  <dcterms:modified xsi:type="dcterms:W3CDTF">2026-05-04T07:21:18Z</dcterms:modified>
  <cp:category/>
  <cp:contentStatus/>
</cp:coreProperties>
</file>