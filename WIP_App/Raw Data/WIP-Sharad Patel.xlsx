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ndeep Chavda\"/>
    </mc:Choice>
  </mc:AlternateContent>
  <xr:revisionPtr revIDLastSave="0" documentId="13_ncr:1_{CB7CAC88-105B-4526-BD94-2FCC97EDEC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I62" i="1"/>
  <c r="I4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I46" i="1"/>
  <c r="I72" i="1"/>
  <c r="I15" i="1"/>
  <c r="I66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7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4" i="1"/>
  <c r="I73" i="1"/>
  <c r="I71" i="1"/>
  <c r="I70" i="1"/>
  <c r="I76" i="1" l="1"/>
  <c r="I9" i="1"/>
  <c r="J67" i="1"/>
  <c r="J76" i="1"/>
  <c r="I67" i="1" l="1"/>
  <c r="N67" i="1"/>
  <c r="M67" i="1"/>
  <c r="L67" i="1"/>
  <c r="K67" i="1"/>
  <c r="N76" i="1"/>
  <c r="M76" i="1"/>
  <c r="L76" i="1"/>
  <c r="K76" i="1"/>
  <c r="K6" i="1"/>
  <c r="L6" i="1" s="1"/>
  <c r="M6" i="1" s="1"/>
  <c r="N6" i="1" s="1"/>
  <c r="M78" i="1" l="1"/>
  <c r="M82" i="1" s="1"/>
  <c r="J78" i="1"/>
  <c r="J82" i="1" s="1"/>
  <c r="K78" i="1"/>
  <c r="K82" i="1" s="1"/>
  <c r="N78" i="1"/>
  <c r="N82" i="1" s="1"/>
  <c r="L78" i="1"/>
  <c r="L82" i="1" s="1"/>
  <c r="I78" i="1"/>
</calcChain>
</file>

<file path=xl/sharedStrings.xml><?xml version="1.0" encoding="utf-8"?>
<sst xmlns="http://schemas.openxmlformats.org/spreadsheetml/2006/main" count="313" uniqueCount="137">
  <si>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</si>
  <si>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</si>
  <si>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</si>
  <si>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</si>
  <si>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</si>
  <si>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</si>
  <si>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</si>
  <si>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</si>
  <si>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</si>
  <si>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</si>
  <si>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</si>
  <si>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</si>
  <si>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</si>
  <si>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</si>
  <si>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</si>
  <si>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</si>
  <si>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</si>
  <si>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</si>
  <si>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</si>
  <si>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</si>
  <si>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</si>
  <si>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</si>
  <si>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</si>
  <si>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</si>
  <si>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</si>
  <si>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</si>
  <si>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</si>
  <si>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</si>
  <si>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</si>
  <si>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</si>
  <si>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</si>
  <si>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</si>
  <si>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</si>
  <si>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</si>
  <si>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</si>
  <si>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</si>
  <si>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</si>
  <si>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</si>
  <si>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</si>
  <si>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</si>
  <si>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</si>
  <si>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</si>
  <si>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</si>
  <si>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</si>
  <si>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</si>
  <si>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</si>
  <si>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</si>
  <si>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</si>
  <si>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</si>
  <si>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</si>
  <si>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</si>
  <si>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</si>
  <si>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</si>
  <si>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</si>
  <si>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</si>
  <si>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</si>
  <si>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</si>
  <si>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</si>
  <si>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</si>
  <si>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</si>
  <si>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</si>
  <si>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</si>
  <si>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</si>
  <si>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</si>
  <si>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</si>
  <si>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</si>
  <si>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</si>
  <si>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</si>
  <si>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</si>
  <si>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</si>
  <si>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</si>
  <si>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</si>
  <si>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</si>
  <si>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</si>
  <si>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Time Entry &amp; Update Daily Work Status</t>
  </si>
  <si>
    <t>Sharad Patel</t>
  </si>
  <si>
    <t>Bearden Stroup &amp; Associates CPAs</t>
  </si>
  <si>
    <t>Circle J Western Store Inc</t>
  </si>
  <si>
    <t xml:space="preserve">Dakota Management </t>
  </si>
  <si>
    <t>Evergreen Landscaping Inc</t>
  </si>
  <si>
    <t>Fleet Technologist LLC</t>
  </si>
  <si>
    <t>Freeman Creative Construction</t>
  </si>
  <si>
    <t>Gentle Touch Salon LLC</t>
  </si>
  <si>
    <t>Ivaldi Engineering PLLC</t>
  </si>
  <si>
    <t>Jennifer Daniels Photography</t>
  </si>
  <si>
    <t>Kentish Transportation Inc</t>
  </si>
  <si>
    <t>Maximum Comfort Heating and Air</t>
  </si>
  <si>
    <t>Michael Rosenblum Inc</t>
  </si>
  <si>
    <t>Mike Kennedy Construction</t>
  </si>
  <si>
    <t>Mill Machinery Sales Inc</t>
  </si>
  <si>
    <t>North Alabama Appliance Service</t>
  </si>
  <si>
    <t>Progression Athletics Group LTD</t>
  </si>
  <si>
    <t>Rocket City Logistics</t>
  </si>
  <si>
    <t>Sarai Lorraine Funes</t>
  </si>
  <si>
    <t>Southeastern Musical Services</t>
  </si>
  <si>
    <t>Taniya Custom Visuals LLC</t>
  </si>
  <si>
    <t>THM Investment Properties Inc</t>
  </si>
  <si>
    <t>Thrive Analysis Group</t>
  </si>
  <si>
    <t>Sunny &amp; Oak Salon LLC</t>
  </si>
  <si>
    <t>Starz Signs</t>
  </si>
  <si>
    <t>Hometown Closet Company</t>
  </si>
  <si>
    <t>DFS Electric LLC</t>
  </si>
  <si>
    <t>Cognitiva</t>
  </si>
  <si>
    <t>Huntsville Painting</t>
  </si>
  <si>
    <t>James Consultants</t>
  </si>
  <si>
    <t>Lyvonne Farmer Inc</t>
  </si>
  <si>
    <t>Must Love Dogs</t>
  </si>
  <si>
    <t>Emmett Blevins</t>
  </si>
  <si>
    <t>Davies Auto Service Center LLC</t>
  </si>
  <si>
    <t>Cat's Boxes Inc</t>
  </si>
  <si>
    <t>David Frederick</t>
  </si>
  <si>
    <t>Medical Asset Group</t>
  </si>
  <si>
    <t>JcarR Inc</t>
  </si>
  <si>
    <t>Fulgenzi Renovations</t>
  </si>
  <si>
    <t>Jeff Norman Enterprises Inc</t>
  </si>
  <si>
    <t>Papa G's</t>
  </si>
  <si>
    <t>Rehab Services Group</t>
  </si>
  <si>
    <t>Roland Machine</t>
  </si>
  <si>
    <t>Seniors LTC</t>
  </si>
  <si>
    <t>Somers Consulting</t>
  </si>
  <si>
    <t>Todd's Rods</t>
  </si>
  <si>
    <t>Daniels Law</t>
  </si>
  <si>
    <t>Decibel Floors</t>
  </si>
  <si>
    <t>Carter Septic &amp; Concrete Products LLC</t>
  </si>
  <si>
    <t>Face to Face Marketing, LLC</t>
  </si>
  <si>
    <t>Mullins Construction Co Inc</t>
  </si>
  <si>
    <t>Final Act LLC</t>
  </si>
  <si>
    <t>Admin-Genral</t>
  </si>
  <si>
    <t>Sandeepkumar Chavda</t>
  </si>
  <si>
    <t>Week 5</t>
  </si>
  <si>
    <t>Staff</t>
  </si>
  <si>
    <t>Glitter and Moss</t>
  </si>
  <si>
    <t xml:space="preserve">Hailes Home Repair </t>
  </si>
  <si>
    <t xml:space="preserve">JM Counselling </t>
  </si>
  <si>
    <t xml:space="preserve">A&amp;J Electric </t>
  </si>
  <si>
    <t xml:space="preserve">Huntsville Blonding Babe </t>
  </si>
  <si>
    <t>Elizabeth Webb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</si>
</sst>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43" fontId="1" fillId="0" borderId="1" xfId="1" applyFont="1" applyBorder="1" applyAlignment="1">
      <alignment horizontal="center"/>
    </xf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zoomScale="85" zoomScaleNormal="85" workbookViewId="0">
      <pane xSplit="2" ySplit="7" topLeftCell="D76" activePane="bottomRight" state="frozen"/>
      <selection pane="topRight" activeCell="C1" sqref="C1"/>
      <selection pane="bottomLeft" activeCell="A7" sqref="A7"/>
      <selection pane="bottomRight" activeCell="J84" sqref="J84"/>
    </sheetView>
  </sheetViews>
  <sheetFormatPr defaultRowHeight="15" x14ac:dyDescent="0.25"/>
  <cols>
    <col min="1" max="1" width="13" customWidth="1"/>
    <col min="2" max="2" width="33.140625" bestFit="1" customWidth="1"/>
    <col min="3" max="3" width="35.85546875" bestFit="1" customWidth="1"/>
    <col min="4" max="4" width="35.42578125" bestFit="1" customWidth="1"/>
    <col min="5" max="6" width="12.42578125" bestFit="1" customWidth="1"/>
    <col min="7" max="7" width="13.140625" customWidth="1"/>
    <col min="8" max="8" width="11.42578125" bestFit="1" customWidth="1"/>
    <col min="9" max="9" width="21" bestFit="1" customWidth="1"/>
    <col min="10" max="11" width="12.42578125" bestFit="1" customWidth="1"/>
    <col min="12" max="12" width="12" bestFit="1" customWidth="1"/>
    <col min="13" max="13" width="10.7109375" customWidth="1"/>
    <col min="14" max="14" width="10.85546875" bestFit="1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9" t="s">
        <v>75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2</v>
      </c>
      <c r="B3" s="9" t="s">
        <v>130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3</v>
      </c>
      <c r="B4" s="9" t="s">
        <v>128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  <c r="C5" s="9"/>
    </row>
    <row r="6" spans="1:14" x14ac:dyDescent="0.25">
      <c r="I6" s="7" t="s">
        <v>4</v>
      </c>
      <c r="J6" s="26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s="1" customFormat="1" ht="30" x14ac:dyDescent="0.25">
      <c r="A7" s="3" t="s">
        <v>5</v>
      </c>
      <c r="B7" s="3" t="s">
        <v>6</v>
      </c>
      <c r="C7" s="3" t="s">
        <v>7</v>
      </c>
      <c r="D7" s="23" t="s">
        <v>39</v>
      </c>
      <c r="E7" s="3" t="s">
        <v>8</v>
      </c>
      <c r="F7" s="3" t="s">
        <v>9</v>
      </c>
      <c r="G7" s="3" t="s">
        <v>10</v>
      </c>
      <c r="H7" s="23" t="s">
        <v>11</v>
      </c>
      <c r="I7" s="2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129</v>
      </c>
    </row>
    <row r="8" spans="1:14" x14ac:dyDescent="0.25">
      <c r="A8" s="6" t="s">
        <v>17</v>
      </c>
      <c r="B8" s="4"/>
      <c r="C8" s="4"/>
      <c r="D8" s="23"/>
      <c r="E8" s="4"/>
      <c r="F8" s="4"/>
      <c r="G8" s="4"/>
      <c r="H8" s="23"/>
      <c r="I8" s="23"/>
      <c r="J8" s="4"/>
      <c r="K8" s="4"/>
      <c r="L8" s="4"/>
      <c r="M8" s="4"/>
      <c r="N8" s="5"/>
    </row>
    <row r="9" spans="1:14" x14ac:dyDescent="0.25">
      <c r="A9">
        <v>1</v>
      </c>
      <c r="B9" s="30" t="s">
        <v>76</v>
      </c>
      <c r="C9" t="s">
        <v>77</v>
      </c>
      <c r="D9" s="24" t="s">
        <v>41</v>
      </c>
      <c r="E9" s="2">
        <v>46143</v>
      </c>
      <c r="F9" s="2">
        <v>46173</v>
      </c>
      <c r="G9" s="2"/>
      <c r="H9" s="24" t="s">
        <v>59</v>
      </c>
      <c r="I9" s="27">
        <f t="shared" ref="I9:I35" si="0">SUM(J9:N9)</f>
        <v>1</v>
      </c>
      <c r="J9">
        <v>1</v>
      </c>
      <c r="L9" s="13"/>
      <c r="M9" s="13"/>
    </row>
    <row r="10" spans="1:14" x14ac:dyDescent="0.25">
      <c r="A10">
        <f>A9+1</f>
        <v>2</v>
      </c>
      <c r="B10" s="30" t="s">
        <v>76</v>
      </c>
      <c r="C10" t="s">
        <v>78</v>
      </c>
      <c r="D10" s="24" t="s">
        <v>41</v>
      </c>
      <c r="E10" s="2">
        <v>46143</v>
      </c>
      <c r="F10" s="2">
        <v>46173</v>
      </c>
      <c r="G10" s="2"/>
      <c r="H10" s="24" t="s">
        <v>59</v>
      </c>
      <c r="I10" s="27">
        <f t="shared" si="0"/>
        <v>0</v>
      </c>
      <c r="M10" s="13"/>
    </row>
    <row r="11" spans="1:14" x14ac:dyDescent="0.25">
      <c r="A11">
        <f t="shared" ref="A11:A64" si="1">A10+1</f>
        <v>3</v>
      </c>
      <c r="B11" s="30" t="s">
        <v>76</v>
      </c>
      <c r="C11" t="s">
        <v>79</v>
      </c>
      <c r="D11" s="24" t="s">
        <v>41</v>
      </c>
      <c r="E11" s="2">
        <v>46143</v>
      </c>
      <c r="F11" s="2">
        <v>46173</v>
      </c>
      <c r="G11" s="2"/>
      <c r="H11" s="24" t="s">
        <v>59</v>
      </c>
      <c r="I11" s="27">
        <f t="shared" si="0"/>
        <v>0</v>
      </c>
      <c r="M11" s="13"/>
    </row>
    <row r="12" spans="1:14" x14ac:dyDescent="0.25">
      <c r="A12">
        <f t="shared" si="1"/>
        <v>4</v>
      </c>
      <c r="B12" s="30" t="s">
        <v>76</v>
      </c>
      <c r="C12" t="s">
        <v>80</v>
      </c>
      <c r="D12" s="24" t="s">
        <v>41</v>
      </c>
      <c r="E12" s="2">
        <v>46143</v>
      </c>
      <c r="F12" s="2">
        <v>46173</v>
      </c>
      <c r="G12" s="2"/>
      <c r="H12" s="24" t="s">
        <v>59</v>
      </c>
      <c r="I12" s="27">
        <f t="shared" si="0"/>
        <v>1</v>
      </c>
      <c r="J12">
        <v>1</v>
      </c>
      <c r="M12" s="13"/>
    </row>
    <row r="13" spans="1:14" x14ac:dyDescent="0.25">
      <c r="A13">
        <f t="shared" si="1"/>
        <v>5</v>
      </c>
      <c r="B13" s="30" t="s">
        <v>76</v>
      </c>
      <c r="C13" t="s">
        <v>81</v>
      </c>
      <c r="D13" s="24" t="s">
        <v>41</v>
      </c>
      <c r="E13" s="2">
        <v>46143</v>
      </c>
      <c r="F13" s="2">
        <v>46173</v>
      </c>
      <c r="G13" s="2"/>
      <c r="H13" s="24" t="s">
        <v>59</v>
      </c>
      <c r="I13" s="27">
        <f t="shared" si="0"/>
        <v>1</v>
      </c>
      <c r="J13">
        <v>1</v>
      </c>
    </row>
    <row r="14" spans="1:14" x14ac:dyDescent="0.25">
      <c r="A14">
        <f t="shared" si="1"/>
        <v>6</v>
      </c>
      <c r="B14" s="30" t="s">
        <v>76</v>
      </c>
      <c r="C14" t="s">
        <v>82</v>
      </c>
      <c r="D14" s="24" t="s">
        <v>41</v>
      </c>
      <c r="E14" s="2">
        <v>46143</v>
      </c>
      <c r="F14" s="2">
        <v>46173</v>
      </c>
      <c r="G14" s="2"/>
      <c r="H14" s="24" t="s">
        <v>59</v>
      </c>
      <c r="I14" s="27">
        <f t="shared" si="0"/>
        <v>2.5</v>
      </c>
      <c r="K14">
        <v>2.5</v>
      </c>
    </row>
    <row r="15" spans="1:14" x14ac:dyDescent="0.25">
      <c r="A15">
        <f t="shared" si="1"/>
        <v>7</v>
      </c>
      <c r="B15" s="30" t="s">
        <v>76</v>
      </c>
      <c r="C15" t="s">
        <v>131</v>
      </c>
      <c r="D15" s="24" t="s">
        <v>41</v>
      </c>
      <c r="E15" s="2">
        <v>46143</v>
      </c>
      <c r="F15" s="2">
        <v>46173</v>
      </c>
      <c r="G15" s="2"/>
      <c r="H15" s="24" t="s">
        <v>59</v>
      </c>
      <c r="I15" s="27">
        <f t="shared" si="0"/>
        <v>2</v>
      </c>
      <c r="J15">
        <v>2</v>
      </c>
      <c r="L15" s="13"/>
    </row>
    <row r="16" spans="1:14" x14ac:dyDescent="0.25">
      <c r="A16">
        <f t="shared" si="1"/>
        <v>8</v>
      </c>
      <c r="B16" s="30" t="s">
        <v>76</v>
      </c>
      <c r="C16" t="s">
        <v>100</v>
      </c>
      <c r="D16" s="24" t="s">
        <v>41</v>
      </c>
      <c r="E16" s="2">
        <v>46143</v>
      </c>
      <c r="F16" s="2">
        <v>46173</v>
      </c>
      <c r="G16" s="2"/>
      <c r="H16" s="24" t="s">
        <v>59</v>
      </c>
      <c r="I16" s="27">
        <f t="shared" si="0"/>
        <v>1</v>
      </c>
      <c r="K16">
        <v>1</v>
      </c>
      <c r="L16" s="13"/>
    </row>
    <row r="17" spans="1:13" x14ac:dyDescent="0.25">
      <c r="A17">
        <f t="shared" si="1"/>
        <v>9</v>
      </c>
      <c r="B17" s="30" t="s">
        <v>76</v>
      </c>
      <c r="C17" t="s">
        <v>83</v>
      </c>
      <c r="D17" s="24" t="s">
        <v>41</v>
      </c>
      <c r="E17" s="2">
        <v>46143</v>
      </c>
      <c r="F17" s="2">
        <v>46173</v>
      </c>
      <c r="G17" s="2"/>
      <c r="H17" s="24" t="s">
        <v>59</v>
      </c>
      <c r="I17" s="27">
        <f t="shared" si="0"/>
        <v>2.5</v>
      </c>
      <c r="K17">
        <v>2.5</v>
      </c>
      <c r="M17" s="13"/>
    </row>
    <row r="18" spans="1:13" x14ac:dyDescent="0.25">
      <c r="A18">
        <f t="shared" si="1"/>
        <v>10</v>
      </c>
      <c r="B18" s="30" t="s">
        <v>76</v>
      </c>
      <c r="C18" t="s">
        <v>84</v>
      </c>
      <c r="D18" s="24" t="s">
        <v>41</v>
      </c>
      <c r="E18" s="2">
        <v>46143</v>
      </c>
      <c r="F18" s="2">
        <v>46173</v>
      </c>
      <c r="G18" s="2"/>
      <c r="H18" s="24" t="s">
        <v>59</v>
      </c>
      <c r="I18" s="27">
        <f t="shared" si="0"/>
        <v>2</v>
      </c>
      <c r="K18">
        <v>2</v>
      </c>
    </row>
    <row r="19" spans="1:13" x14ac:dyDescent="0.25">
      <c r="A19">
        <f t="shared" si="1"/>
        <v>11</v>
      </c>
      <c r="B19" s="30" t="s">
        <v>76</v>
      </c>
      <c r="C19" t="s">
        <v>85</v>
      </c>
      <c r="D19" s="24" t="s">
        <v>41</v>
      </c>
      <c r="E19" s="2">
        <v>46143</v>
      </c>
      <c r="F19" s="2">
        <v>46173</v>
      </c>
      <c r="G19" s="2"/>
      <c r="H19" s="24" t="s">
        <v>59</v>
      </c>
      <c r="I19" s="27">
        <f t="shared" si="0"/>
        <v>2</v>
      </c>
      <c r="K19">
        <v>2</v>
      </c>
    </row>
    <row r="20" spans="1:13" x14ac:dyDescent="0.25">
      <c r="A20">
        <f t="shared" si="1"/>
        <v>12</v>
      </c>
      <c r="B20" s="30" t="s">
        <v>76</v>
      </c>
      <c r="C20" t="s">
        <v>86</v>
      </c>
      <c r="D20" s="24" t="s">
        <v>41</v>
      </c>
      <c r="E20" s="2">
        <v>46143</v>
      </c>
      <c r="F20" s="2">
        <v>46173</v>
      </c>
      <c r="G20" s="2"/>
      <c r="H20" s="24" t="s">
        <v>59</v>
      </c>
      <c r="I20" s="27">
        <f t="shared" si="0"/>
        <v>2.5</v>
      </c>
      <c r="J20">
        <v>1</v>
      </c>
      <c r="K20">
        <v>1.5</v>
      </c>
    </row>
    <row r="21" spans="1:13" x14ac:dyDescent="0.25">
      <c r="A21">
        <f t="shared" si="1"/>
        <v>13</v>
      </c>
      <c r="B21" s="30" t="s">
        <v>76</v>
      </c>
      <c r="C21" t="s">
        <v>87</v>
      </c>
      <c r="D21" s="24" t="s">
        <v>41</v>
      </c>
      <c r="E21" s="2">
        <v>46143</v>
      </c>
      <c r="F21" s="2">
        <v>46173</v>
      </c>
      <c r="G21" s="2"/>
      <c r="H21" s="24" t="s">
        <v>59</v>
      </c>
      <c r="I21" s="27">
        <f t="shared" si="0"/>
        <v>1</v>
      </c>
      <c r="J21">
        <v>1</v>
      </c>
    </row>
    <row r="22" spans="1:13" x14ac:dyDescent="0.25">
      <c r="A22">
        <f t="shared" si="1"/>
        <v>14</v>
      </c>
      <c r="B22" s="30" t="s">
        <v>76</v>
      </c>
      <c r="C22" t="s">
        <v>88</v>
      </c>
      <c r="D22" s="24" t="s">
        <v>41</v>
      </c>
      <c r="E22" s="2">
        <v>46143</v>
      </c>
      <c r="F22" s="2">
        <v>46173</v>
      </c>
      <c r="G22" s="2"/>
      <c r="H22" s="24" t="s">
        <v>59</v>
      </c>
      <c r="I22" s="27">
        <f t="shared" si="0"/>
        <v>1.5</v>
      </c>
      <c r="J22">
        <v>1.5</v>
      </c>
    </row>
    <row r="23" spans="1:13" x14ac:dyDescent="0.25">
      <c r="A23">
        <f t="shared" si="1"/>
        <v>15</v>
      </c>
      <c r="B23" s="30" t="s">
        <v>76</v>
      </c>
      <c r="C23" t="s">
        <v>89</v>
      </c>
      <c r="D23" s="24" t="s">
        <v>41</v>
      </c>
      <c r="E23" s="2">
        <v>46143</v>
      </c>
      <c r="F23" s="2">
        <v>46173</v>
      </c>
      <c r="G23" s="2"/>
      <c r="H23" s="24" t="s">
        <v>59</v>
      </c>
      <c r="I23" s="27">
        <f t="shared" si="0"/>
        <v>2.5</v>
      </c>
      <c r="K23">
        <v>2.5</v>
      </c>
    </row>
    <row r="24" spans="1:13" x14ac:dyDescent="0.25">
      <c r="A24">
        <f t="shared" si="1"/>
        <v>16</v>
      </c>
      <c r="B24" s="30" t="s">
        <v>76</v>
      </c>
      <c r="C24" t="s">
        <v>90</v>
      </c>
      <c r="D24" s="24" t="s">
        <v>41</v>
      </c>
      <c r="E24" s="2">
        <v>46143</v>
      </c>
      <c r="F24" s="2">
        <v>46173</v>
      </c>
      <c r="G24" s="2"/>
      <c r="H24" s="24" t="s">
        <v>59</v>
      </c>
      <c r="I24" s="27">
        <f t="shared" si="0"/>
        <v>1</v>
      </c>
      <c r="J24">
        <v>1</v>
      </c>
    </row>
    <row r="25" spans="1:13" x14ac:dyDescent="0.25">
      <c r="A25">
        <f t="shared" si="1"/>
        <v>17</v>
      </c>
      <c r="B25" s="30" t="s">
        <v>76</v>
      </c>
      <c r="C25" t="s">
        <v>91</v>
      </c>
      <c r="D25" s="24" t="s">
        <v>41</v>
      </c>
      <c r="E25" s="2">
        <v>46143</v>
      </c>
      <c r="F25" s="2">
        <v>46173</v>
      </c>
      <c r="G25" s="2"/>
      <c r="H25" s="24" t="s">
        <v>59</v>
      </c>
      <c r="I25" s="27">
        <f t="shared" si="0"/>
        <v>4</v>
      </c>
      <c r="K25">
        <v>4</v>
      </c>
    </row>
    <row r="26" spans="1:13" x14ac:dyDescent="0.25">
      <c r="A26">
        <f t="shared" si="1"/>
        <v>18</v>
      </c>
      <c r="B26" s="30" t="s">
        <v>76</v>
      </c>
      <c r="C26" t="s">
        <v>92</v>
      </c>
      <c r="D26" s="24" t="s">
        <v>41</v>
      </c>
      <c r="E26" s="2">
        <v>46143</v>
      </c>
      <c r="F26" s="2">
        <v>46173</v>
      </c>
      <c r="G26" s="2"/>
      <c r="H26" s="24" t="s">
        <v>59</v>
      </c>
      <c r="I26" s="27">
        <f t="shared" si="0"/>
        <v>2</v>
      </c>
      <c r="J26">
        <v>2</v>
      </c>
    </row>
    <row r="27" spans="1:13" x14ac:dyDescent="0.25">
      <c r="A27">
        <f t="shared" si="1"/>
        <v>19</v>
      </c>
      <c r="B27" s="30" t="s">
        <v>76</v>
      </c>
      <c r="C27" t="s">
        <v>93</v>
      </c>
      <c r="D27" s="24" t="s">
        <v>41</v>
      </c>
      <c r="E27" s="2">
        <v>46143</v>
      </c>
      <c r="F27" s="2">
        <v>46173</v>
      </c>
      <c r="G27" s="2"/>
      <c r="H27" s="24" t="s">
        <v>59</v>
      </c>
      <c r="I27" s="27">
        <f t="shared" si="0"/>
        <v>0</v>
      </c>
    </row>
    <row r="28" spans="1:13" x14ac:dyDescent="0.25">
      <c r="A28">
        <f t="shared" si="1"/>
        <v>20</v>
      </c>
      <c r="B28" s="30" t="s">
        <v>76</v>
      </c>
      <c r="C28" t="s">
        <v>94</v>
      </c>
      <c r="D28" s="24" t="s">
        <v>41</v>
      </c>
      <c r="E28" s="2">
        <v>46143</v>
      </c>
      <c r="F28" s="2">
        <v>46173</v>
      </c>
      <c r="G28" s="2"/>
      <c r="H28" s="24" t="s">
        <v>59</v>
      </c>
      <c r="I28" s="27">
        <f t="shared" si="0"/>
        <v>3</v>
      </c>
      <c r="K28">
        <v>3</v>
      </c>
    </row>
    <row r="29" spans="1:13" x14ac:dyDescent="0.25">
      <c r="A29">
        <f t="shared" si="1"/>
        <v>21</v>
      </c>
      <c r="B29" s="30" t="s">
        <v>76</v>
      </c>
      <c r="C29" t="s">
        <v>99</v>
      </c>
      <c r="D29" s="24" t="s">
        <v>41</v>
      </c>
      <c r="E29" s="2">
        <v>46143</v>
      </c>
      <c r="F29" s="2">
        <v>46173</v>
      </c>
      <c r="G29" s="2"/>
      <c r="H29" s="24" t="s">
        <v>59</v>
      </c>
      <c r="I29" s="27">
        <f t="shared" si="0"/>
        <v>2.5</v>
      </c>
      <c r="K29">
        <v>2.5</v>
      </c>
    </row>
    <row r="30" spans="1:13" x14ac:dyDescent="0.25">
      <c r="A30">
        <f t="shared" si="1"/>
        <v>22</v>
      </c>
      <c r="B30" s="30" t="s">
        <v>76</v>
      </c>
      <c r="C30" t="s">
        <v>98</v>
      </c>
      <c r="D30" s="24" t="s">
        <v>41</v>
      </c>
      <c r="E30" s="2">
        <v>46143</v>
      </c>
      <c r="F30" s="2">
        <v>46173</v>
      </c>
      <c r="G30" s="2"/>
      <c r="H30" s="24" t="s">
        <v>59</v>
      </c>
      <c r="I30" s="27">
        <f t="shared" si="0"/>
        <v>3</v>
      </c>
      <c r="J30">
        <v>3</v>
      </c>
    </row>
    <row r="31" spans="1:13" x14ac:dyDescent="0.25">
      <c r="A31">
        <f t="shared" si="1"/>
        <v>23</v>
      </c>
      <c r="B31" s="30" t="s">
        <v>76</v>
      </c>
      <c r="C31" t="s">
        <v>95</v>
      </c>
      <c r="D31" s="24" t="s">
        <v>41</v>
      </c>
      <c r="E31" s="2">
        <v>46143</v>
      </c>
      <c r="F31" s="2">
        <v>46173</v>
      </c>
      <c r="H31" s="24" t="s">
        <v>59</v>
      </c>
      <c r="I31" s="27">
        <f t="shared" si="0"/>
        <v>3</v>
      </c>
      <c r="J31">
        <v>3</v>
      </c>
    </row>
    <row r="32" spans="1:13" x14ac:dyDescent="0.25">
      <c r="A32">
        <f t="shared" si="1"/>
        <v>24</v>
      </c>
      <c r="B32" s="30" t="s">
        <v>76</v>
      </c>
      <c r="C32" t="s">
        <v>96</v>
      </c>
      <c r="D32" s="24" t="s">
        <v>41</v>
      </c>
      <c r="E32" s="2">
        <v>46143</v>
      </c>
      <c r="F32" s="2">
        <v>46173</v>
      </c>
      <c r="H32" s="24" t="s">
        <v>59</v>
      </c>
      <c r="I32" s="27">
        <f t="shared" si="0"/>
        <v>2</v>
      </c>
      <c r="K32">
        <v>2</v>
      </c>
    </row>
    <row r="33" spans="1:11" x14ac:dyDescent="0.25">
      <c r="A33">
        <f t="shared" si="1"/>
        <v>25</v>
      </c>
      <c r="B33" s="30" t="s">
        <v>76</v>
      </c>
      <c r="C33" t="s">
        <v>97</v>
      </c>
      <c r="D33" s="24" t="s">
        <v>41</v>
      </c>
      <c r="E33" s="2">
        <v>46143</v>
      </c>
      <c r="F33" s="2">
        <v>46173</v>
      </c>
      <c r="H33" s="24" t="s">
        <v>59</v>
      </c>
      <c r="I33" s="27">
        <f t="shared" si="0"/>
        <v>3</v>
      </c>
      <c r="J33">
        <v>3</v>
      </c>
    </row>
    <row r="34" spans="1:11" x14ac:dyDescent="0.25">
      <c r="A34">
        <f t="shared" si="1"/>
        <v>26</v>
      </c>
      <c r="B34" s="30" t="s">
        <v>76</v>
      </c>
      <c r="C34" t="s">
        <v>101</v>
      </c>
      <c r="D34" s="24" t="s">
        <v>41</v>
      </c>
      <c r="E34" s="2">
        <v>46143</v>
      </c>
      <c r="F34" s="2">
        <v>46173</v>
      </c>
      <c r="H34" s="24" t="s">
        <v>59</v>
      </c>
      <c r="I34" s="27">
        <f t="shared" si="0"/>
        <v>0</v>
      </c>
    </row>
    <row r="35" spans="1:11" x14ac:dyDescent="0.25">
      <c r="A35">
        <f t="shared" si="1"/>
        <v>27</v>
      </c>
      <c r="B35" s="30" t="s">
        <v>76</v>
      </c>
      <c r="C35" t="s">
        <v>132</v>
      </c>
      <c r="D35" s="24" t="s">
        <v>41</v>
      </c>
      <c r="E35" s="2">
        <v>46143</v>
      </c>
      <c r="F35" s="2">
        <v>46173</v>
      </c>
      <c r="H35" s="24" t="s">
        <v>59</v>
      </c>
      <c r="I35" s="27">
        <f t="shared" si="0"/>
        <v>1</v>
      </c>
      <c r="K35">
        <v>1</v>
      </c>
    </row>
    <row r="36" spans="1:11" x14ac:dyDescent="0.25">
      <c r="A36">
        <f t="shared" si="1"/>
        <v>28</v>
      </c>
      <c r="B36" s="30" t="s">
        <v>76</v>
      </c>
      <c r="C36" t="s">
        <v>102</v>
      </c>
      <c r="D36" s="24" t="s">
        <v>41</v>
      </c>
      <c r="E36" s="2">
        <v>46143</v>
      </c>
      <c r="F36" s="2">
        <v>46173</v>
      </c>
      <c r="H36" s="24" t="s">
        <v>59</v>
      </c>
      <c r="I36" s="27">
        <f>SUM(M36:N36)</f>
        <v>0</v>
      </c>
    </row>
    <row r="37" spans="1:11" x14ac:dyDescent="0.25">
      <c r="A37">
        <f t="shared" si="1"/>
        <v>29</v>
      </c>
      <c r="B37" s="30" t="s">
        <v>76</v>
      </c>
      <c r="C37" t="s">
        <v>103</v>
      </c>
      <c r="D37" s="24" t="s">
        <v>41</v>
      </c>
      <c r="E37" s="2">
        <v>46143</v>
      </c>
      <c r="F37" s="2">
        <v>46173</v>
      </c>
      <c r="H37" s="24" t="s">
        <v>59</v>
      </c>
      <c r="I37" s="27">
        <f>SUM(M37:N37)</f>
        <v>0</v>
      </c>
      <c r="K37">
        <v>1</v>
      </c>
    </row>
    <row r="38" spans="1:11" x14ac:dyDescent="0.25">
      <c r="A38">
        <f t="shared" si="1"/>
        <v>30</v>
      </c>
      <c r="B38" s="30" t="s">
        <v>76</v>
      </c>
      <c r="C38" t="s">
        <v>104</v>
      </c>
      <c r="D38" s="24" t="s">
        <v>41</v>
      </c>
      <c r="E38" s="2">
        <v>46143</v>
      </c>
      <c r="F38" s="2">
        <v>46173</v>
      </c>
      <c r="H38" s="24" t="s">
        <v>59</v>
      </c>
      <c r="I38" s="27">
        <f t="shared" ref="I38:I64" si="2">SUM(J38:N38)</f>
        <v>0.5</v>
      </c>
      <c r="J38">
        <v>0.5</v>
      </c>
    </row>
    <row r="39" spans="1:11" x14ac:dyDescent="0.25">
      <c r="A39">
        <f t="shared" si="1"/>
        <v>31</v>
      </c>
      <c r="B39" s="30" t="s">
        <v>76</v>
      </c>
      <c r="C39" t="s">
        <v>133</v>
      </c>
      <c r="D39" s="24" t="s">
        <v>41</v>
      </c>
      <c r="E39" s="2">
        <v>46143</v>
      </c>
      <c r="F39" s="2">
        <v>46173</v>
      </c>
      <c r="H39" s="24" t="s">
        <v>59</v>
      </c>
      <c r="I39" s="27">
        <f t="shared" si="2"/>
        <v>0.5</v>
      </c>
      <c r="J39">
        <v>0.5</v>
      </c>
    </row>
    <row r="40" spans="1:11" x14ac:dyDescent="0.25">
      <c r="A40">
        <f t="shared" si="1"/>
        <v>32</v>
      </c>
      <c r="B40" s="30" t="s">
        <v>76</v>
      </c>
      <c r="C40" t="s">
        <v>105</v>
      </c>
      <c r="D40" s="24" t="s">
        <v>41</v>
      </c>
      <c r="E40" s="2">
        <v>46143</v>
      </c>
      <c r="F40" s="2">
        <v>46173</v>
      </c>
      <c r="H40" s="24" t="s">
        <v>59</v>
      </c>
      <c r="I40" s="27">
        <f t="shared" si="2"/>
        <v>3</v>
      </c>
      <c r="J40">
        <v>1.5</v>
      </c>
      <c r="K40">
        <v>1.5</v>
      </c>
    </row>
    <row r="41" spans="1:11" x14ac:dyDescent="0.25">
      <c r="A41">
        <f t="shared" si="1"/>
        <v>33</v>
      </c>
      <c r="B41" s="30" t="s">
        <v>76</v>
      </c>
      <c r="C41" t="s">
        <v>106</v>
      </c>
      <c r="D41" s="24" t="s">
        <v>41</v>
      </c>
      <c r="E41" s="2">
        <v>46143</v>
      </c>
      <c r="F41" s="2">
        <v>46173</v>
      </c>
      <c r="H41" s="24" t="s">
        <v>59</v>
      </c>
      <c r="I41" s="27">
        <f t="shared" si="2"/>
        <v>0</v>
      </c>
    </row>
    <row r="42" spans="1:11" x14ac:dyDescent="0.25">
      <c r="A42">
        <f t="shared" si="1"/>
        <v>34</v>
      </c>
      <c r="B42" s="30" t="s">
        <v>76</v>
      </c>
      <c r="C42" t="s">
        <v>134</v>
      </c>
      <c r="D42" s="24" t="s">
        <v>41</v>
      </c>
      <c r="E42" s="2">
        <v>46143</v>
      </c>
      <c r="F42" s="2">
        <v>46173</v>
      </c>
      <c r="H42" s="24" t="s">
        <v>59</v>
      </c>
      <c r="I42" s="27">
        <f t="shared" si="2"/>
        <v>0</v>
      </c>
    </row>
    <row r="43" spans="1:11" x14ac:dyDescent="0.25">
      <c r="A43">
        <f t="shared" si="1"/>
        <v>35</v>
      </c>
      <c r="B43" s="30" t="s">
        <v>76</v>
      </c>
      <c r="C43" t="s">
        <v>107</v>
      </c>
      <c r="D43" s="24" t="s">
        <v>41</v>
      </c>
      <c r="E43" s="2">
        <v>46143</v>
      </c>
      <c r="F43" s="2">
        <v>46173</v>
      </c>
      <c r="G43" s="2"/>
      <c r="H43" s="24" t="s">
        <v>59</v>
      </c>
      <c r="I43" s="27">
        <f t="shared" si="2"/>
        <v>1.5</v>
      </c>
      <c r="J43">
        <v>1.5</v>
      </c>
    </row>
    <row r="44" spans="1:11" x14ac:dyDescent="0.25">
      <c r="A44">
        <f t="shared" si="1"/>
        <v>36</v>
      </c>
      <c r="B44" s="30" t="s">
        <v>76</v>
      </c>
      <c r="C44" t="s">
        <v>108</v>
      </c>
      <c r="D44" s="24" t="s">
        <v>41</v>
      </c>
      <c r="E44" s="2">
        <v>46143</v>
      </c>
      <c r="F44" s="2">
        <v>46173</v>
      </c>
      <c r="H44" s="24" t="s">
        <v>59</v>
      </c>
      <c r="I44" s="27">
        <f t="shared" si="2"/>
        <v>0</v>
      </c>
    </row>
    <row r="45" spans="1:11" x14ac:dyDescent="0.25">
      <c r="A45">
        <f t="shared" si="1"/>
        <v>37</v>
      </c>
      <c r="B45" s="30" t="s">
        <v>76</v>
      </c>
      <c r="C45" t="s">
        <v>109</v>
      </c>
      <c r="D45" s="24" t="s">
        <v>41</v>
      </c>
      <c r="E45" s="2">
        <v>46143</v>
      </c>
      <c r="F45" s="2">
        <v>46173</v>
      </c>
      <c r="H45" s="24" t="s">
        <v>59</v>
      </c>
      <c r="I45" s="27">
        <f t="shared" si="2"/>
        <v>0</v>
      </c>
    </row>
    <row r="46" spans="1:11" x14ac:dyDescent="0.25">
      <c r="A46">
        <f t="shared" si="1"/>
        <v>38</v>
      </c>
      <c r="B46" s="30" t="s">
        <v>76</v>
      </c>
      <c r="C46" t="s">
        <v>109</v>
      </c>
      <c r="D46" s="24" t="s">
        <v>41</v>
      </c>
      <c r="E46" s="2">
        <v>46143</v>
      </c>
      <c r="F46" s="2">
        <v>46173</v>
      </c>
      <c r="H46" s="24" t="s">
        <v>59</v>
      </c>
      <c r="I46" s="27">
        <f t="shared" si="2"/>
        <v>1</v>
      </c>
      <c r="J46">
        <v>1</v>
      </c>
    </row>
    <row r="47" spans="1:11" x14ac:dyDescent="0.25">
      <c r="A47">
        <f t="shared" si="1"/>
        <v>39</v>
      </c>
      <c r="B47" s="30" t="s">
        <v>76</v>
      </c>
      <c r="C47" t="s">
        <v>110</v>
      </c>
      <c r="D47" s="24" t="s">
        <v>41</v>
      </c>
      <c r="E47" s="2">
        <v>46143</v>
      </c>
      <c r="F47" s="2">
        <v>46173</v>
      </c>
      <c r="G47" s="2"/>
      <c r="H47" s="24" t="s">
        <v>59</v>
      </c>
      <c r="I47" s="27">
        <f t="shared" si="2"/>
        <v>0</v>
      </c>
    </row>
    <row r="48" spans="1:11" x14ac:dyDescent="0.25">
      <c r="A48">
        <f t="shared" si="1"/>
        <v>40</v>
      </c>
      <c r="B48" s="30" t="s">
        <v>76</v>
      </c>
      <c r="C48" t="s">
        <v>111</v>
      </c>
      <c r="D48" s="24" t="s">
        <v>41</v>
      </c>
      <c r="E48" s="2">
        <v>46143</v>
      </c>
      <c r="F48" s="2">
        <v>46173</v>
      </c>
      <c r="H48" s="24" t="s">
        <v>59</v>
      </c>
      <c r="I48" s="27">
        <f t="shared" si="2"/>
        <v>0</v>
      </c>
    </row>
    <row r="49" spans="1:11" x14ac:dyDescent="0.25">
      <c r="A49">
        <f t="shared" si="1"/>
        <v>41</v>
      </c>
      <c r="B49" s="30" t="s">
        <v>76</v>
      </c>
      <c r="C49" t="s">
        <v>135</v>
      </c>
      <c r="D49" s="24" t="s">
        <v>41</v>
      </c>
      <c r="E49" s="2">
        <v>46143</v>
      </c>
      <c r="F49" s="2">
        <v>46173</v>
      </c>
      <c r="G49" s="2"/>
      <c r="H49" s="24" t="s">
        <v>59</v>
      </c>
      <c r="I49" s="27">
        <f t="shared" si="2"/>
        <v>1.5</v>
      </c>
      <c r="J49">
        <v>1.5</v>
      </c>
    </row>
    <row r="50" spans="1:11" x14ac:dyDescent="0.25">
      <c r="A50">
        <f t="shared" si="1"/>
        <v>42</v>
      </c>
      <c r="B50" s="30" t="s">
        <v>76</v>
      </c>
      <c r="C50" t="s">
        <v>112</v>
      </c>
      <c r="D50" s="24" t="s">
        <v>41</v>
      </c>
      <c r="E50" s="2">
        <v>46143</v>
      </c>
      <c r="F50" s="2">
        <v>46173</v>
      </c>
      <c r="H50" s="24" t="s">
        <v>59</v>
      </c>
      <c r="I50" s="27">
        <f t="shared" si="2"/>
        <v>0</v>
      </c>
    </row>
    <row r="51" spans="1:11" x14ac:dyDescent="0.25">
      <c r="A51">
        <f t="shared" si="1"/>
        <v>43</v>
      </c>
      <c r="B51" s="30" t="s">
        <v>76</v>
      </c>
      <c r="C51" t="s">
        <v>113</v>
      </c>
      <c r="D51" s="24" t="s">
        <v>41</v>
      </c>
      <c r="E51" s="2">
        <v>46143</v>
      </c>
      <c r="F51" s="2">
        <v>46173</v>
      </c>
      <c r="H51" s="24" t="s">
        <v>59</v>
      </c>
      <c r="I51" s="27">
        <f t="shared" si="2"/>
        <v>0</v>
      </c>
    </row>
    <row r="52" spans="1:11" x14ac:dyDescent="0.25">
      <c r="A52">
        <f t="shared" si="1"/>
        <v>44</v>
      </c>
      <c r="B52" s="30" t="s">
        <v>76</v>
      </c>
      <c r="C52" t="s">
        <v>114</v>
      </c>
      <c r="D52" s="24" t="s">
        <v>41</v>
      </c>
      <c r="E52" s="2">
        <v>46143</v>
      </c>
      <c r="F52" s="2">
        <v>46173</v>
      </c>
      <c r="H52" s="24" t="s">
        <v>59</v>
      </c>
      <c r="I52" s="27">
        <f t="shared" si="2"/>
        <v>1.5</v>
      </c>
      <c r="K52">
        <v>1.5</v>
      </c>
    </row>
    <row r="53" spans="1:11" x14ac:dyDescent="0.25">
      <c r="A53">
        <f t="shared" si="1"/>
        <v>45</v>
      </c>
      <c r="B53" s="30" t="s">
        <v>76</v>
      </c>
      <c r="C53" t="s">
        <v>115</v>
      </c>
      <c r="D53" s="24" t="s">
        <v>41</v>
      </c>
      <c r="E53" s="2">
        <v>46143</v>
      </c>
      <c r="F53" s="2">
        <v>46173</v>
      </c>
      <c r="H53" s="24" t="s">
        <v>59</v>
      </c>
      <c r="I53" s="27">
        <f t="shared" si="2"/>
        <v>0</v>
      </c>
    </row>
    <row r="54" spans="1:11" x14ac:dyDescent="0.25">
      <c r="A54">
        <f t="shared" si="1"/>
        <v>46</v>
      </c>
      <c r="B54" s="30" t="s">
        <v>76</v>
      </c>
      <c r="C54" t="s">
        <v>116</v>
      </c>
      <c r="D54" s="24" t="s">
        <v>41</v>
      </c>
      <c r="E54" s="2">
        <v>46143</v>
      </c>
      <c r="F54" s="2">
        <v>46173</v>
      </c>
      <c r="H54" s="24" t="s">
        <v>59</v>
      </c>
      <c r="I54" s="27">
        <f t="shared" si="2"/>
        <v>1</v>
      </c>
      <c r="K54">
        <v>1</v>
      </c>
    </row>
    <row r="55" spans="1:11" x14ac:dyDescent="0.25">
      <c r="A55">
        <f t="shared" si="1"/>
        <v>47</v>
      </c>
      <c r="B55" s="30" t="s">
        <v>76</v>
      </c>
      <c r="C55" t="s">
        <v>117</v>
      </c>
      <c r="D55" s="24" t="s">
        <v>41</v>
      </c>
      <c r="E55" s="2">
        <v>46143</v>
      </c>
      <c r="F55" s="2">
        <v>46173</v>
      </c>
      <c r="H55" s="24" t="s">
        <v>59</v>
      </c>
      <c r="I55" s="27">
        <f t="shared" si="2"/>
        <v>0</v>
      </c>
    </row>
    <row r="56" spans="1:11" x14ac:dyDescent="0.25">
      <c r="A56">
        <f t="shared" si="1"/>
        <v>48</v>
      </c>
      <c r="B56" s="30" t="s">
        <v>76</v>
      </c>
      <c r="C56" t="s">
        <v>118</v>
      </c>
      <c r="D56" s="24" t="s">
        <v>41</v>
      </c>
      <c r="E56" s="2">
        <v>46143</v>
      </c>
      <c r="F56" s="2">
        <v>46173</v>
      </c>
      <c r="H56" s="24" t="s">
        <v>59</v>
      </c>
      <c r="I56" s="27">
        <f t="shared" si="2"/>
        <v>0</v>
      </c>
    </row>
    <row r="57" spans="1:11" x14ac:dyDescent="0.25">
      <c r="A57">
        <f t="shared" si="1"/>
        <v>49</v>
      </c>
      <c r="B57" s="30" t="s">
        <v>76</v>
      </c>
      <c r="C57" t="s">
        <v>119</v>
      </c>
      <c r="D57" s="24" t="s">
        <v>41</v>
      </c>
      <c r="E57" s="2">
        <v>46143</v>
      </c>
      <c r="F57" s="2">
        <v>46173</v>
      </c>
      <c r="H57" s="24" t="s">
        <v>59</v>
      </c>
      <c r="I57" s="27">
        <f t="shared" si="2"/>
        <v>0</v>
      </c>
    </row>
    <row r="58" spans="1:11" x14ac:dyDescent="0.25">
      <c r="A58">
        <f t="shared" si="1"/>
        <v>50</v>
      </c>
      <c r="B58" s="30" t="s">
        <v>76</v>
      </c>
      <c r="C58" t="s">
        <v>120</v>
      </c>
      <c r="D58" s="24" t="s">
        <v>41</v>
      </c>
      <c r="E58" s="2">
        <v>46143</v>
      </c>
      <c r="F58" s="2">
        <v>46173</v>
      </c>
      <c r="H58" s="24" t="s">
        <v>59</v>
      </c>
      <c r="I58" s="27">
        <f t="shared" si="2"/>
        <v>0</v>
      </c>
    </row>
    <row r="59" spans="1:11" x14ac:dyDescent="0.25">
      <c r="A59">
        <f t="shared" si="1"/>
        <v>51</v>
      </c>
      <c r="B59" s="30" t="s">
        <v>76</v>
      </c>
      <c r="C59" t="s">
        <v>121</v>
      </c>
      <c r="D59" s="24" t="s">
        <v>41</v>
      </c>
      <c r="E59" s="2">
        <v>46143</v>
      </c>
      <c r="F59" s="2">
        <v>46173</v>
      </c>
      <c r="G59" s="2"/>
      <c r="H59" s="24" t="s">
        <v>59</v>
      </c>
      <c r="I59" s="27">
        <f t="shared" si="2"/>
        <v>1</v>
      </c>
      <c r="J59">
        <v>1</v>
      </c>
    </row>
    <row r="60" spans="1:11" x14ac:dyDescent="0.25">
      <c r="A60">
        <f t="shared" si="1"/>
        <v>52</v>
      </c>
      <c r="B60" s="30" t="s">
        <v>76</v>
      </c>
      <c r="C60" t="s">
        <v>122</v>
      </c>
      <c r="D60" s="24" t="s">
        <v>41</v>
      </c>
      <c r="E60" s="2">
        <v>46143</v>
      </c>
      <c r="F60" s="2">
        <v>46173</v>
      </c>
      <c r="H60" s="24" t="s">
        <v>59</v>
      </c>
      <c r="I60" s="27">
        <f t="shared" si="2"/>
        <v>0</v>
      </c>
    </row>
    <row r="61" spans="1:11" x14ac:dyDescent="0.25">
      <c r="A61">
        <f t="shared" si="1"/>
        <v>53</v>
      </c>
      <c r="B61" s="30" t="s">
        <v>76</v>
      </c>
      <c r="C61" t="s">
        <v>123</v>
      </c>
      <c r="D61" s="24" t="s">
        <v>41</v>
      </c>
      <c r="E61" s="2">
        <v>46143</v>
      </c>
      <c r="F61" s="2">
        <v>46173</v>
      </c>
      <c r="H61" s="24" t="s">
        <v>59</v>
      </c>
      <c r="I61" s="27">
        <f t="shared" si="2"/>
        <v>2</v>
      </c>
      <c r="J61">
        <v>2</v>
      </c>
    </row>
    <row r="62" spans="1:11" x14ac:dyDescent="0.25">
      <c r="A62">
        <f t="shared" si="1"/>
        <v>54</v>
      </c>
      <c r="B62" s="30" t="s">
        <v>76</v>
      </c>
      <c r="C62" t="s">
        <v>124</v>
      </c>
      <c r="D62" s="24" t="s">
        <v>41</v>
      </c>
      <c r="E62" s="2">
        <v>46143</v>
      </c>
      <c r="F62" s="2">
        <v>46173</v>
      </c>
      <c r="H62" s="24" t="s">
        <v>59</v>
      </c>
      <c r="I62" s="27">
        <f t="shared" si="2"/>
        <v>0</v>
      </c>
    </row>
    <row r="63" spans="1:11" x14ac:dyDescent="0.25">
      <c r="A63">
        <f t="shared" si="1"/>
        <v>55</v>
      </c>
      <c r="B63" s="30" t="s">
        <v>76</v>
      </c>
      <c r="C63" t="s">
        <v>125</v>
      </c>
      <c r="D63" s="24" t="s">
        <v>41</v>
      </c>
      <c r="E63" s="2">
        <v>46143</v>
      </c>
      <c r="F63" s="2">
        <v>46173</v>
      </c>
      <c r="H63" s="24" t="s">
        <v>59</v>
      </c>
      <c r="I63" s="27">
        <f t="shared" si="2"/>
        <v>2</v>
      </c>
      <c r="K63">
        <v>2</v>
      </c>
    </row>
    <row r="64" spans="1:11" x14ac:dyDescent="0.25">
      <c r="A64">
        <f t="shared" si="1"/>
        <v>56</v>
      </c>
      <c r="B64" s="30" t="s">
        <v>76</v>
      </c>
      <c r="C64" t="s">
        <v>126</v>
      </c>
      <c r="D64" s="24" t="s">
        <v>41</v>
      </c>
      <c r="E64" s="2">
        <v>46143</v>
      </c>
      <c r="F64" s="2">
        <v>46173</v>
      </c>
      <c r="H64" s="24" t="s">
        <v>59</v>
      </c>
      <c r="I64" s="27">
        <f t="shared" si="2"/>
        <v>1.5</v>
      </c>
      <c r="J64">
        <v>1.5</v>
      </c>
    </row>
    <row r="65" spans="1:14" x14ac:dyDescent="0.25">
      <c r="A65">
        <v>57</v>
      </c>
      <c r="B65" s="30" t="s">
        <v>76</v>
      </c>
      <c r="C65" t="s">
        <v>136</v>
      </c>
      <c r="D65" s="24" t="s">
        <v>41</v>
      </c>
      <c r="E65" s="2">
        <v>46143</v>
      </c>
      <c r="F65" s="2">
        <v>46173</v>
      </c>
      <c r="H65" s="24" t="s">
        <v>59</v>
      </c>
      <c r="I65" s="27"/>
      <c r="J65">
        <v>1</v>
      </c>
    </row>
    <row r="66" spans="1:14" x14ac:dyDescent="0.25">
      <c r="A66">
        <v>58</v>
      </c>
      <c r="B66" s="30" t="s">
        <v>76</v>
      </c>
      <c r="C66" t="s">
        <v>127</v>
      </c>
      <c r="D66" s="24" t="s">
        <v>72</v>
      </c>
      <c r="E66" s="2">
        <v>46143</v>
      </c>
      <c r="F66" s="2">
        <v>46173</v>
      </c>
      <c r="H66" s="24" t="s">
        <v>18</v>
      </c>
      <c r="I66" s="27">
        <f>SUM(J66:N66)</f>
        <v>2.5</v>
      </c>
      <c r="J66">
        <v>1.25</v>
      </c>
      <c r="K66">
        <v>1.25</v>
      </c>
    </row>
    <row r="67" spans="1:14" ht="15.75" thickBot="1" x14ac:dyDescent="0.3">
      <c r="A67" s="12" t="s">
        <v>19</v>
      </c>
      <c r="B67" s="8"/>
      <c r="C67" s="8"/>
      <c r="D67" s="8"/>
      <c r="E67" s="8"/>
      <c r="F67" s="8"/>
      <c r="G67" s="8"/>
      <c r="H67" s="8"/>
      <c r="I67" s="28">
        <f t="shared" ref="I67:N67" si="3">SUM(I8:I66)</f>
        <v>66.5</v>
      </c>
      <c r="J67" s="14">
        <f>SUM(J8:J66)</f>
        <v>33.75</v>
      </c>
      <c r="K67" s="29">
        <f>SUM(K8:K66)</f>
        <v>34.75</v>
      </c>
      <c r="L67" s="14">
        <f t="shared" si="3"/>
        <v>0</v>
      </c>
      <c r="M67" s="14">
        <f t="shared" si="3"/>
        <v>0</v>
      </c>
      <c r="N67" s="14">
        <f t="shared" si="3"/>
        <v>0</v>
      </c>
    </row>
    <row r="68" spans="1:14" ht="15.75" thickTop="1" x14ac:dyDescent="0.25">
      <c r="I68" s="27"/>
      <c r="J68" s="13"/>
      <c r="K68" s="13"/>
      <c r="L68" s="13"/>
      <c r="M68" s="13"/>
      <c r="N68" s="13"/>
    </row>
    <row r="69" spans="1:14" x14ac:dyDescent="0.25">
      <c r="A69" s="1" t="s">
        <v>20</v>
      </c>
      <c r="I69" s="27"/>
      <c r="J69" s="13"/>
      <c r="K69" s="13"/>
      <c r="L69" s="13"/>
      <c r="M69" s="13"/>
      <c r="N69" s="13"/>
    </row>
    <row r="70" spans="1:14" x14ac:dyDescent="0.25">
      <c r="B70" t="s">
        <v>21</v>
      </c>
      <c r="C70" t="s">
        <v>74</v>
      </c>
      <c r="I70" s="27">
        <f t="shared" ref="I70:I73" si="4">SUM(J70:N70)</f>
        <v>2.5</v>
      </c>
      <c r="J70" s="13">
        <v>1.25</v>
      </c>
      <c r="K70" s="13">
        <v>1.25</v>
      </c>
      <c r="L70" s="13"/>
      <c r="M70" s="13"/>
      <c r="N70" s="13"/>
    </row>
    <row r="71" spans="1:14" x14ac:dyDescent="0.25">
      <c r="B71" t="s">
        <v>22</v>
      </c>
      <c r="I71" s="27">
        <f t="shared" si="4"/>
        <v>0</v>
      </c>
      <c r="J71" s="13"/>
      <c r="K71" s="13"/>
      <c r="L71" s="13"/>
      <c r="M71" s="13"/>
      <c r="N71" s="13"/>
    </row>
    <row r="72" spans="1:14" x14ac:dyDescent="0.25">
      <c r="B72" t="s">
        <v>23</v>
      </c>
      <c r="I72" s="27">
        <f t="shared" si="4"/>
        <v>0</v>
      </c>
      <c r="J72" s="13"/>
      <c r="K72" s="13"/>
      <c r="L72" s="13"/>
      <c r="M72" s="13"/>
      <c r="N72" s="13"/>
    </row>
    <row r="73" spans="1:14" x14ac:dyDescent="0.25">
      <c r="B73" t="s">
        <v>24</v>
      </c>
      <c r="E73" s="2"/>
      <c r="I73" s="27">
        <f t="shared" si="4"/>
        <v>0</v>
      </c>
      <c r="J73" s="13"/>
      <c r="L73" s="13"/>
      <c r="M73" s="13"/>
      <c r="N73" s="13"/>
    </row>
    <row r="74" spans="1:14" x14ac:dyDescent="0.25">
      <c r="B74" t="s">
        <v>25</v>
      </c>
      <c r="I74" s="27"/>
      <c r="J74" s="13">
        <v>5</v>
      </c>
      <c r="K74" s="13">
        <v>4</v>
      </c>
      <c r="L74" s="13"/>
      <c r="M74" s="13"/>
      <c r="N74" s="13"/>
    </row>
    <row r="75" spans="1:14" x14ac:dyDescent="0.25">
      <c r="I75" s="24"/>
    </row>
    <row r="76" spans="1:14" ht="15.75" thickBot="1" x14ac:dyDescent="0.3">
      <c r="A76" s="12" t="s">
        <v>26</v>
      </c>
      <c r="B76" s="8"/>
      <c r="C76" s="8"/>
      <c r="D76" s="8"/>
      <c r="E76" s="8"/>
      <c r="F76" s="8"/>
      <c r="G76" s="8"/>
      <c r="H76" s="8"/>
      <c r="I76" s="28">
        <f>SUM(I70:I75)</f>
        <v>2.5</v>
      </c>
      <c r="J76" s="14">
        <f>SUM(J70:J75)</f>
        <v>6.25</v>
      </c>
      <c r="K76" s="14">
        <f t="shared" ref="K76:N76" si="5">SUM(K70:K75)</f>
        <v>5.25</v>
      </c>
      <c r="L76" s="14">
        <f t="shared" si="5"/>
        <v>0</v>
      </c>
      <c r="M76" s="14">
        <f t="shared" si="5"/>
        <v>0</v>
      </c>
      <c r="N76" s="14">
        <f t="shared" si="5"/>
        <v>0</v>
      </c>
    </row>
    <row r="77" spans="1:14" ht="15.75" thickTop="1" x14ac:dyDescent="0.25">
      <c r="I77" s="27"/>
      <c r="J77" s="13"/>
      <c r="K77" s="13"/>
      <c r="L77" s="13"/>
      <c r="M77" s="13"/>
      <c r="N77" s="13"/>
    </row>
    <row r="78" spans="1:14" ht="15.75" thickBot="1" x14ac:dyDescent="0.3">
      <c r="A78" s="12" t="s">
        <v>27</v>
      </c>
      <c r="B78" s="8"/>
      <c r="C78" s="8"/>
      <c r="D78" s="8"/>
      <c r="E78" s="8"/>
      <c r="F78" s="8"/>
      <c r="G78" s="8"/>
      <c r="H78" s="8"/>
      <c r="I78" s="28">
        <f>+I76+I67</f>
        <v>69</v>
      </c>
      <c r="J78" s="14">
        <f t="shared" ref="J78:N78" si="6">+J76+J67</f>
        <v>40</v>
      </c>
      <c r="K78" s="14">
        <f t="shared" si="6"/>
        <v>40</v>
      </c>
      <c r="L78" s="14">
        <f t="shared" si="6"/>
        <v>0</v>
      </c>
      <c r="M78" s="14">
        <f t="shared" si="6"/>
        <v>0</v>
      </c>
      <c r="N78" s="14">
        <f t="shared" si="6"/>
        <v>0</v>
      </c>
    </row>
    <row r="79" spans="1:14" ht="15.75" thickTop="1" x14ac:dyDescent="0.25">
      <c r="I79" s="24"/>
    </row>
    <row r="80" spans="1:14" x14ac:dyDescent="0.25">
      <c r="I80" s="24"/>
    </row>
    <row r="81" spans="1:14" ht="15.75" thickBot="1" x14ac:dyDescent="0.3">
      <c r="A81" s="12" t="s">
        <v>28</v>
      </c>
      <c r="B81" s="8"/>
      <c r="C81" s="8"/>
      <c r="D81" s="8"/>
      <c r="E81" s="8"/>
      <c r="F81" s="8"/>
      <c r="G81" s="8"/>
      <c r="H81" s="8"/>
      <c r="I81" s="28"/>
      <c r="J81" s="14">
        <v>40</v>
      </c>
      <c r="K81" s="14">
        <v>40</v>
      </c>
      <c r="L81" s="14">
        <v>40</v>
      </c>
      <c r="M81" s="14">
        <v>40</v>
      </c>
      <c r="N81" s="14">
        <v>40</v>
      </c>
    </row>
    <row r="82" spans="1:14" ht="16.5" thickTop="1" thickBot="1" x14ac:dyDescent="0.3">
      <c r="A82" s="12" t="s">
        <v>29</v>
      </c>
      <c r="B82" s="8"/>
      <c r="C82" s="8"/>
      <c r="D82" s="8"/>
      <c r="E82" s="8"/>
      <c r="F82" s="8"/>
      <c r="G82" s="8"/>
      <c r="H82" s="8"/>
      <c r="I82" s="28"/>
      <c r="J82" s="14">
        <f>+J81-J78</f>
        <v>0</v>
      </c>
      <c r="K82" s="14">
        <f t="shared" ref="K82:N82" si="7">+K81-K78</f>
        <v>0</v>
      </c>
      <c r="L82" s="14">
        <f t="shared" si="7"/>
        <v>40</v>
      </c>
      <c r="M82" s="14">
        <f t="shared" si="7"/>
        <v>40</v>
      </c>
      <c r="N82" s="14">
        <f t="shared" si="7"/>
        <v>40</v>
      </c>
    </row>
    <row r="83" spans="1:14" ht="15.75" thickTop="1" x14ac:dyDescent="0.25"/>
  </sheetData>
  <protectedRanges>
    <protectedRange sqref="C71 K70:L72 K74:L75 E70:J75 A70:B75 L73 C70:D70 C72:D75 M70:XFD75 O9:XFD66 A8:XFD8 H9:I66" name="Range1"/>
    <protectedRange sqref="D9:D66" name="Range1_2"/>
    <protectedRange sqref="C10:C66 A9:A66" name="Range1_5"/>
    <protectedRange sqref="G9:G66" name="Range1_6"/>
    <protectedRange sqref="E9:F66" name="Range1_3_1"/>
    <protectedRange sqref="N66 N32:N33 N25:N30 N9:N23 N35:N63" name="Range1_8"/>
    <protectedRange sqref="N64:N65 M35:M63 L27:L31 M25:M30 L66:M66 L54:L59 L15:L16 M9:M23 L25 N31 L39 L41 L43:L44 L51:L52 L47 L49 N34 M32:M33 N24 L9" name="Range1_10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619741-1162-4FE4-A628-ABB5FED3562C}">
          <x14:formula1>
            <xm:f>Status!$B$16:$B$23</xm:f>
          </x14:formula1>
          <xm:sqref>H9:H66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topLeftCell="A9" workbookViewId="0">
      <selection activeCell="C28" sqref="C28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39</v>
      </c>
      <c r="C2" s="22" t="s">
        <v>44</v>
      </c>
    </row>
    <row r="3" spans="2:3" x14ac:dyDescent="0.25">
      <c r="B3" s="19" t="s">
        <v>40</v>
      </c>
      <c r="C3" s="20" t="s">
        <v>45</v>
      </c>
    </row>
    <row r="4" spans="2:3" x14ac:dyDescent="0.25">
      <c r="B4" s="19" t="s">
        <v>46</v>
      </c>
      <c r="C4" s="20" t="s">
        <v>47</v>
      </c>
    </row>
    <row r="5" spans="2:3" x14ac:dyDescent="0.25">
      <c r="B5" s="19" t="s">
        <v>48</v>
      </c>
      <c r="C5" s="20" t="s">
        <v>49</v>
      </c>
    </row>
    <row r="6" spans="2:3" x14ac:dyDescent="0.25">
      <c r="B6" s="19" t="s">
        <v>41</v>
      </c>
      <c r="C6" s="20" t="s">
        <v>50</v>
      </c>
    </row>
    <row r="7" spans="2:3" x14ac:dyDescent="0.25">
      <c r="B7" s="19" t="s">
        <v>51</v>
      </c>
      <c r="C7" s="20" t="s">
        <v>52</v>
      </c>
    </row>
    <row r="8" spans="2:3" x14ac:dyDescent="0.25">
      <c r="B8" s="19" t="s">
        <v>42</v>
      </c>
      <c r="C8" s="20" t="s">
        <v>53</v>
      </c>
    </row>
    <row r="9" spans="2:3" x14ac:dyDescent="0.25">
      <c r="B9" s="19" t="s">
        <v>43</v>
      </c>
      <c r="C9" s="20" t="s">
        <v>54</v>
      </c>
    </row>
    <row r="10" spans="2:3" x14ac:dyDescent="0.25">
      <c r="B10" s="19" t="s">
        <v>72</v>
      </c>
      <c r="C10" s="20" t="s">
        <v>73</v>
      </c>
    </row>
    <row r="11" spans="2:3" x14ac:dyDescent="0.25">
      <c r="B11" s="19" t="s">
        <v>55</v>
      </c>
      <c r="C11" s="20" t="s">
        <v>56</v>
      </c>
    </row>
    <row r="15" spans="2:3" ht="16.5" x14ac:dyDescent="0.25">
      <c r="B15" s="22" t="s">
        <v>57</v>
      </c>
      <c r="C15" s="22" t="s">
        <v>44</v>
      </c>
    </row>
    <row r="16" spans="2:3" x14ac:dyDescent="0.25">
      <c r="B16" s="21" t="s">
        <v>30</v>
      </c>
      <c r="C16" s="20" t="s">
        <v>58</v>
      </c>
    </row>
    <row r="17" spans="2:3" x14ac:dyDescent="0.25">
      <c r="B17" s="21" t="s">
        <v>59</v>
      </c>
      <c r="C17" s="20" t="s">
        <v>60</v>
      </c>
    </row>
    <row r="18" spans="2:3" x14ac:dyDescent="0.25">
      <c r="B18" s="21" t="s">
        <v>38</v>
      </c>
      <c r="C18" s="20" t="s">
        <v>61</v>
      </c>
    </row>
    <row r="19" spans="2:3" x14ac:dyDescent="0.25">
      <c r="B19" s="21" t="s">
        <v>18</v>
      </c>
      <c r="C19" s="20" t="s">
        <v>62</v>
      </c>
    </row>
    <row r="20" spans="2:3" x14ac:dyDescent="0.25">
      <c r="B20" s="21" t="s">
        <v>31</v>
      </c>
      <c r="C20" s="20" t="s">
        <v>63</v>
      </c>
    </row>
    <row r="21" spans="2:3" x14ac:dyDescent="0.25">
      <c r="B21" s="21" t="s">
        <v>32</v>
      </c>
      <c r="C21" s="20" t="s">
        <v>64</v>
      </c>
    </row>
    <row r="22" spans="2:3" x14ac:dyDescent="0.25">
      <c r="B22" s="21" t="s">
        <v>65</v>
      </c>
      <c r="C22" s="20" t="s">
        <v>66</v>
      </c>
    </row>
    <row r="23" spans="2:3" x14ac:dyDescent="0.25">
      <c r="B23" s="21" t="s">
        <v>37</v>
      </c>
      <c r="C23" s="20" t="s">
        <v>67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5" sqref="A5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33</v>
      </c>
    </row>
    <row r="2" spans="1:1" s="16" customFormat="1" ht="15.75" x14ac:dyDescent="0.25">
      <c r="A2" s="17"/>
    </row>
    <row r="3" spans="1:1" s="16" customFormat="1" ht="15.75" x14ac:dyDescent="0.25">
      <c r="A3" s="15" t="s">
        <v>70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34</v>
      </c>
    </row>
    <row r="8" spans="1:1" ht="15.75" x14ac:dyDescent="0.25">
      <c r="A8" s="15" t="s">
        <v>71</v>
      </c>
    </row>
    <row r="9" spans="1:1" ht="15.75" x14ac:dyDescent="0.25">
      <c r="A9" s="15" t="s">
        <v>69</v>
      </c>
    </row>
    <row r="10" spans="1:1" ht="15.75" x14ac:dyDescent="0.25">
      <c r="A10" s="15" t="s">
        <v>35</v>
      </c>
    </row>
    <row r="11" spans="1:1" ht="15.75" x14ac:dyDescent="0.25">
      <c r="A11" s="15" t="s">
        <v>36</v>
      </c>
    </row>
    <row r="12" spans="1:1" ht="15.75" x14ac:dyDescent="0.25">
      <c r="A12" s="15" t="s">
        <v>68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Sandeep Chavda</cp:lastModifiedBy>
  <cp:revision/>
  <dcterms:created xsi:type="dcterms:W3CDTF">2015-06-05T18:17:20Z</dcterms:created>
  <dcterms:modified xsi:type="dcterms:W3CDTF">2026-05-04T07:22:10Z</dcterms:modified>
  <cp:category/>
  <cp:contentStatus/>
</cp:coreProperties>
</file>