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Anant Suthar\"/>
    </mc:Choice>
  </mc:AlternateContent>
  <xr:revisionPtr revIDLastSave="0" documentId="13_ncr:1_{82C9BE65-21BC-4777-A90E-BCF85A5089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WIP!$A$7:$M$20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8" i="1" s="1"/>
  <c r="K9" i="1"/>
  <c r="K18" i="1" s="1"/>
  <c r="K20" i="1" s="1"/>
  <c r="K22" i="1" s="1"/>
  <c r="K26" i="1" s="1"/>
  <c r="I12" i="1"/>
  <c r="I13" i="1"/>
  <c r="I15" i="1"/>
  <c r="I16" i="1"/>
  <c r="I17" i="1"/>
  <c r="I14" i="1"/>
  <c r="M9" i="1"/>
  <c r="L9" i="1"/>
  <c r="I11" i="1"/>
  <c r="I9" i="1"/>
  <c r="M20" i="1"/>
  <c r="L20" i="1"/>
  <c r="K6" i="1"/>
  <c r="L6" i="1"/>
  <c r="M6" i="1"/>
  <c r="M22" i="1"/>
  <c r="M26" i="1"/>
  <c r="L22" i="1"/>
  <c r="L26" i="1"/>
  <c r="I18" i="1" l="1"/>
  <c r="I20" i="1" s="1"/>
  <c r="I22" i="1" s="1"/>
  <c r="J20" i="1"/>
  <c r="J22" i="1" s="1"/>
  <c r="J26" i="1" s="1"/>
</calcChain>
</file>

<file path=xl/sharedStrings.xml><?xml version="1.0" encoding="utf-8"?>
<sst xmlns="http://schemas.openxmlformats.org/spreadsheetml/2006/main" count="103" uniqueCount="80">
  <si>
    <t>Work in Progress Report</t>
  </si>
  <si>
    <t xml:space="preserve">Name: </t>
  </si>
  <si>
    <t>Title:</t>
  </si>
  <si>
    <t>Staff</t>
  </si>
  <si>
    <t>Manager Name:</t>
  </si>
  <si>
    <t>Week starting on --&gt;&gt;</t>
  </si>
  <si>
    <t>Sr #</t>
  </si>
  <si>
    <t>Client Name</t>
  </si>
  <si>
    <t>Project (sub-client)</t>
  </si>
  <si>
    <t>Work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</si>
  <si>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</si>
  <si>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</si>
  <si>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</si>
  <si>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</si>
  <si>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</si>
  <si>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</si>
  <si>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</si>
  <si>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</si>
  <si>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</si>
  <si>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</si>
  <si>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Not Started</t>
  </si>
  <si>
    <t>Non Billable hours</t>
  </si>
  <si>
    <t>Admin</t>
  </si>
  <si>
    <t>Timesheet updates + mail checking</t>
  </si>
  <si>
    <t xml:space="preserve">Unassigned </t>
  </si>
  <si>
    <t>Total of non-billable</t>
  </si>
  <si>
    <t>Total Hours</t>
  </si>
  <si>
    <t>Weekly hours to be completed</t>
  </si>
  <si>
    <t>Available hours</t>
  </si>
  <si>
    <t>In Preparation</t>
  </si>
  <si>
    <t>In Review</t>
  </si>
  <si>
    <t>Points to be considered while updating the tracker</t>
  </si>
  <si>
    <t>Weeks should start from column "J" - Don't change sequence.</t>
  </si>
  <si>
    <t>Always use Sr. no. when inputting data (If there is no data, don't write sr. no).</t>
  </si>
  <si>
    <t>Select work done from the drop-down list only - Don't write manually</t>
  </si>
  <si>
    <t>Don't leave any row blank in between (if require you can add a row in between)</t>
  </si>
  <si>
    <t>Don’t add or delete any column</t>
  </si>
  <si>
    <t>Leave</t>
  </si>
  <si>
    <t>Sick Leave</t>
  </si>
  <si>
    <t>Work Item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</si>
  <si>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</si>
  <si>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</si>
  <si>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</si>
  <si>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</si>
  <si>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</si>
  <si>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</si>
  <si>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</si>
  <si>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</si>
  <si>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</si>
  <si>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</si>
  <si>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</si>
  <si>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</si>
  <si>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</si>
  <si>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</si>
  <si>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</si>
  <si>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</si>
  <si>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</si>
  <si>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</si>
  <si>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Call, Internal Discussions, Client Emails, Document Upload, Workflow updates Etc.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</si>
  <si>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</si>
  <si>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</si>
  <si>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</si>
  <si>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</si>
  <si>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</si>
  <si>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</si>
  <si>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</si>
  <si>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</si>
  <si>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</si>
  <si>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</si>
  <si>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</si>
  <si>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</si>
  <si>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</si>
  <si>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</si>
  <si>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Casual Leave- Family Emergency</t>
  </si>
  <si>
    <t>Vidhiben Soni</t>
  </si>
  <si>
    <t>Anantkumar Suthar</t>
  </si>
  <si>
    <t>Training</t>
  </si>
  <si>
    <t>Learning and Development</t>
  </si>
  <si>
    <t>Doing R&amp;D on different accounting concepts.</t>
  </si>
  <si>
    <t>Company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</si>
</sst>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Segoe U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0" fillId="3" borderId="0" xfId="0" applyNumberFormat="1" applyFill="1"/>
    <xf numFmtId="0" fontId="0" fillId="4" borderId="0" xfId="0" applyFill="1"/>
    <xf numFmtId="0" fontId="2" fillId="0" borderId="0" xfId="0" applyFont="1"/>
    <xf numFmtId="43" fontId="1" fillId="0" borderId="0" xfId="1" applyFont="1"/>
    <xf numFmtId="0" fontId="0" fillId="5" borderId="0" xfId="0" applyFill="1"/>
    <xf numFmtId="0" fontId="1" fillId="4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/>
    <xf numFmtId="0" fontId="8" fillId="7" borderId="3" xfId="0" applyFont="1" applyFill="1" applyBorder="1" applyAlignment="1">
      <alignment horizontal="left" vertical="center" wrapText="1"/>
    </xf>
    <xf numFmtId="0" fontId="1" fillId="0" borderId="3" xfId="0" applyFont="1" applyBorder="1"/>
    <xf numFmtId="0" fontId="0" fillId="0" borderId="3" xfId="0" applyBorder="1"/>
    <xf numFmtId="0" fontId="9" fillId="0" borderId="3" xfId="0" applyFont="1" applyBorder="1"/>
    <xf numFmtId="0" fontId="1" fillId="0" borderId="3" xfId="0" applyFont="1" applyBorder="1" applyAlignment="1">
      <alignment horizontal="left"/>
    </xf>
    <xf numFmtId="2" fontId="7" fillId="0" borderId="0" xfId="0" applyNumberFormat="1" applyFont="1"/>
    <xf numFmtId="2" fontId="6" fillId="0" borderId="0" xfId="0" applyNumberFormat="1" applyFont="1"/>
    <xf numFmtId="2" fontId="0" fillId="0" borderId="0" xfId="1" applyNumberFormat="1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85" zoomScaleNormal="85" workbookViewId="0">
      <pane xSplit="2" ySplit="7" topLeftCell="D8" activePane="bottomRight" state="frozen"/>
      <selection pane="topRight" activeCell="C1" sqref="C1"/>
      <selection pane="bottomLeft" activeCell="A7" sqref="A7"/>
      <selection pane="bottomRight" activeCell="H11" sqref="H11"/>
    </sheetView>
  </sheetViews>
  <sheetFormatPr defaultRowHeight="15" outlineLevelCol="1" x14ac:dyDescent="0.25"/>
  <cols>
    <col min="1" max="1" width="28.85546875" bestFit="1" customWidth="1"/>
    <col min="2" max="2" width="30.42578125" customWidth="1"/>
    <col min="3" max="3" width="30.57031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customWidth="1" outlineLevel="1"/>
    <col min="13" max="13" width="10.7109375" customWidth="1"/>
  </cols>
  <sheetData>
    <row r="1" spans="1:13" x14ac:dyDescent="0.25">
      <c r="A1" s="1" t="s">
        <v>0</v>
      </c>
      <c r="H1" s="11"/>
    </row>
    <row r="2" spans="1:13" x14ac:dyDescent="0.25">
      <c r="A2" s="1" t="s">
        <v>1</v>
      </c>
      <c r="B2" s="9" t="s">
        <v>74</v>
      </c>
      <c r="C2" s="9"/>
      <c r="H2" s="1"/>
      <c r="I2" s="1"/>
      <c r="J2" s="10"/>
      <c r="K2" s="10"/>
      <c r="L2" s="10"/>
      <c r="M2" s="10"/>
    </row>
    <row r="3" spans="1:13" x14ac:dyDescent="0.25">
      <c r="A3" s="1" t="s">
        <v>2</v>
      </c>
      <c r="B3" s="9" t="s">
        <v>3</v>
      </c>
      <c r="C3" s="9"/>
      <c r="H3" s="1"/>
      <c r="I3" s="1"/>
      <c r="J3" s="10"/>
      <c r="K3" s="10"/>
      <c r="L3" s="10"/>
      <c r="M3" s="10"/>
    </row>
    <row r="4" spans="1:13" x14ac:dyDescent="0.25">
      <c r="A4" s="1" t="s">
        <v>4</v>
      </c>
      <c r="B4" s="9" t="s">
        <v>75</v>
      </c>
      <c r="C4" s="9"/>
      <c r="H4" s="1"/>
      <c r="I4" s="1"/>
      <c r="J4" s="10"/>
      <c r="K4" s="10"/>
      <c r="L4" s="10"/>
      <c r="M4" s="10"/>
    </row>
    <row r="5" spans="1:13" x14ac:dyDescent="0.25">
      <c r="A5" s="1"/>
      <c r="B5" s="9"/>
      <c r="C5" s="9"/>
    </row>
    <row r="6" spans="1:13" x14ac:dyDescent="0.25">
      <c r="I6" s="6" t="s">
        <v>5</v>
      </c>
      <c r="J6" s="7">
        <v>46146</v>
      </c>
      <c r="K6" s="2">
        <f>J6+7</f>
        <v>46153</v>
      </c>
      <c r="L6" s="2">
        <f>K6+7</f>
        <v>46160</v>
      </c>
      <c r="M6" s="2">
        <f>L6+7</f>
        <v>46167</v>
      </c>
    </row>
    <row r="7" spans="1:13" ht="30" x14ac:dyDescent="0.25">
      <c r="A7" s="3" t="s">
        <v>6</v>
      </c>
      <c r="B7" s="29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</row>
    <row r="8" spans="1:13" x14ac:dyDescent="0.25">
      <c r="A8" s="5" t="s">
        <v>19</v>
      </c>
      <c r="B8" s="30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5.75" thickBot="1" x14ac:dyDescent="0.3">
      <c r="A9" s="8"/>
      <c r="B9" s="8"/>
      <c r="C9" s="8"/>
      <c r="D9" s="8"/>
      <c r="E9" s="8"/>
      <c r="F9" s="8"/>
      <c r="G9" s="8"/>
      <c r="H9" s="8"/>
      <c r="I9" s="14">
        <f>SUM(I8:I8)</f>
        <v>0</v>
      </c>
      <c r="J9" s="14">
        <f>SUM(J8:J8)</f>
        <v>0</v>
      </c>
      <c r="K9" s="14">
        <f>SUM(K8:K8)</f>
        <v>0</v>
      </c>
      <c r="L9" s="14">
        <f>SUM(L8:L8)</f>
        <v>0</v>
      </c>
      <c r="M9" s="14">
        <f>SUM(M8:M8)</f>
        <v>0</v>
      </c>
    </row>
    <row r="10" spans="1:13" ht="15.75" thickTop="1" x14ac:dyDescent="0.25">
      <c r="A10" s="1" t="s">
        <v>21</v>
      </c>
      <c r="I10" s="13"/>
      <c r="J10" s="13"/>
      <c r="K10" s="13"/>
      <c r="L10" s="13"/>
      <c r="M10" s="13"/>
    </row>
    <row r="11" spans="1:13" x14ac:dyDescent="0.25">
      <c r="A11">
        <v>1</v>
      </c>
      <c r="B11" t="s">
        <v>22</v>
      </c>
      <c r="C11" t="s">
        <v>22</v>
      </c>
      <c r="D11" s="19" t="s">
        <v>23</v>
      </c>
      <c r="E11" s="2">
        <v>46139</v>
      </c>
      <c r="G11" s="20"/>
      <c r="H11" t="s">
        <v>67</v>
      </c>
      <c r="I11" s="26">
        <f t="shared" ref="I11:I18" si="0">SUM(J11:M11)</f>
        <v>3.5</v>
      </c>
      <c r="J11" s="27">
        <v>1.75</v>
      </c>
      <c r="K11" s="27">
        <v>1.75</v>
      </c>
      <c r="L11" s="27"/>
      <c r="M11" s="27"/>
    </row>
    <row r="12" spans="1:13" x14ac:dyDescent="0.25">
      <c r="A12">
        <v>2</v>
      </c>
      <c r="B12" t="s">
        <v>37</v>
      </c>
      <c r="C12" t="s">
        <v>37</v>
      </c>
      <c r="D12" s="19" t="s">
        <v>38</v>
      </c>
      <c r="E12" s="2">
        <v>46139</v>
      </c>
      <c r="G12" s="20"/>
      <c r="H12" t="s">
        <v>67</v>
      </c>
      <c r="I12" s="26">
        <f t="shared" si="0"/>
        <v>0</v>
      </c>
      <c r="J12" s="27"/>
      <c r="K12" s="27"/>
      <c r="L12" s="27"/>
      <c r="M12" s="27"/>
    </row>
    <row r="13" spans="1:13" x14ac:dyDescent="0.25">
      <c r="A13">
        <v>3</v>
      </c>
      <c r="B13" t="s">
        <v>37</v>
      </c>
      <c r="C13" t="s">
        <v>37</v>
      </c>
      <c r="D13" s="19" t="s">
        <v>73</v>
      </c>
      <c r="E13" s="2">
        <v>46139</v>
      </c>
      <c r="G13" s="20"/>
      <c r="H13" t="s">
        <v>67</v>
      </c>
      <c r="I13" s="26">
        <f t="shared" si="0"/>
        <v>0</v>
      </c>
      <c r="J13" s="27"/>
      <c r="K13" s="27"/>
      <c r="L13" s="27"/>
      <c r="M13" s="27"/>
    </row>
    <row r="14" spans="1:13" x14ac:dyDescent="0.25">
      <c r="A14">
        <v>4</v>
      </c>
      <c r="B14" t="s">
        <v>22</v>
      </c>
      <c r="C14" t="s">
        <v>22</v>
      </c>
      <c r="D14" s="19" t="s">
        <v>23</v>
      </c>
      <c r="E14" s="2">
        <v>46139</v>
      </c>
      <c r="G14" s="20"/>
      <c r="H14" t="s">
        <v>67</v>
      </c>
      <c r="I14" s="26">
        <f t="shared" si="0"/>
        <v>0</v>
      </c>
      <c r="J14" s="27"/>
      <c r="K14" s="27"/>
      <c r="L14" s="27"/>
      <c r="M14" s="27"/>
    </row>
    <row r="15" spans="1:13" x14ac:dyDescent="0.25">
      <c r="A15">
        <v>5</v>
      </c>
      <c r="B15" s="19" t="s">
        <v>76</v>
      </c>
      <c r="C15" t="s">
        <v>77</v>
      </c>
      <c r="D15" s="19" t="s">
        <v>78</v>
      </c>
      <c r="E15" s="2">
        <v>46139</v>
      </c>
      <c r="G15" s="20"/>
      <c r="H15" t="s">
        <v>67</v>
      </c>
      <c r="I15" s="26">
        <f t="shared" si="0"/>
        <v>0</v>
      </c>
      <c r="J15" s="27"/>
      <c r="K15" s="27"/>
      <c r="L15" s="27"/>
      <c r="M15" s="27"/>
    </row>
    <row r="16" spans="1:13" x14ac:dyDescent="0.25">
      <c r="A16">
        <v>6</v>
      </c>
      <c r="B16" t="s">
        <v>22</v>
      </c>
      <c r="C16" t="s">
        <v>79</v>
      </c>
      <c r="D16" t="s">
        <v>79</v>
      </c>
      <c r="E16" s="2">
        <v>46139</v>
      </c>
      <c r="G16" s="20"/>
      <c r="H16" t="s">
        <v>20</v>
      </c>
      <c r="I16" s="26">
        <f t="shared" si="0"/>
        <v>0</v>
      </c>
      <c r="J16" s="27"/>
      <c r="K16" s="27"/>
      <c r="L16" s="27"/>
      <c r="M16" s="27"/>
    </row>
    <row r="17" spans="1:13" x14ac:dyDescent="0.25">
      <c r="A17">
        <v>7</v>
      </c>
      <c r="B17" s="19" t="s">
        <v>76</v>
      </c>
      <c r="C17" t="s">
        <v>77</v>
      </c>
      <c r="D17" s="19" t="s">
        <v>76</v>
      </c>
      <c r="E17" s="2">
        <v>46139</v>
      </c>
      <c r="G17" s="20"/>
      <c r="H17" t="s">
        <v>67</v>
      </c>
      <c r="I17" s="26">
        <f t="shared" si="0"/>
        <v>0</v>
      </c>
      <c r="J17" s="27"/>
      <c r="K17" s="27"/>
      <c r="L17" s="27"/>
      <c r="M17" s="27"/>
    </row>
    <row r="18" spans="1:13" x14ac:dyDescent="0.25">
      <c r="A18">
        <v>8</v>
      </c>
      <c r="B18" s="19" t="s">
        <v>24</v>
      </c>
      <c r="C18" s="19" t="s">
        <v>24</v>
      </c>
      <c r="D18" s="19" t="s">
        <v>24</v>
      </c>
      <c r="E18" s="2">
        <v>46139</v>
      </c>
      <c r="G18" s="20"/>
      <c r="H18" t="s">
        <v>20</v>
      </c>
      <c r="I18" s="26">
        <f t="shared" si="0"/>
        <v>76.5</v>
      </c>
      <c r="J18" s="28">
        <f>J25-SUM(J11:J17)-J9</f>
        <v>38.25</v>
      </c>
      <c r="K18" s="28">
        <f>K25-K9-K11-K16</f>
        <v>38.25</v>
      </c>
      <c r="L18" s="28"/>
      <c r="M18" s="28"/>
    </row>
    <row r="19" spans="1:13" x14ac:dyDescent="0.25">
      <c r="B19" s="19"/>
      <c r="C19" s="19"/>
      <c r="D19" s="19"/>
      <c r="E19" s="2"/>
      <c r="G19" s="20"/>
      <c r="I19" s="26"/>
      <c r="J19" s="28"/>
      <c r="K19" s="28"/>
      <c r="L19" s="28"/>
      <c r="M19" s="28"/>
    </row>
    <row r="20" spans="1:13" ht="15.75" thickBot="1" x14ac:dyDescent="0.3">
      <c r="A20" s="12" t="s">
        <v>25</v>
      </c>
      <c r="B20" s="8"/>
      <c r="C20" s="8"/>
      <c r="D20" s="8"/>
      <c r="E20" s="8"/>
      <c r="F20" s="8"/>
      <c r="G20" s="8"/>
      <c r="H20" s="8"/>
      <c r="I20" s="14">
        <f>SUM(I11:I18)</f>
        <v>80</v>
      </c>
      <c r="J20" s="14">
        <f>SUM(J11:J18)</f>
        <v>40</v>
      </c>
      <c r="K20" s="14">
        <f>SUM(K11:K18)</f>
        <v>40</v>
      </c>
      <c r="L20" s="14">
        <f>SUM(L11:L18)</f>
        <v>0</v>
      </c>
      <c r="M20" s="14">
        <f>SUM(M11:M18)</f>
        <v>0</v>
      </c>
    </row>
    <row r="21" spans="1:13" ht="15.75" thickTop="1" x14ac:dyDescent="0.25">
      <c r="I21" s="13"/>
      <c r="J21" s="13"/>
      <c r="K21" s="13"/>
      <c r="L21" s="13"/>
      <c r="M21" s="13"/>
    </row>
    <row r="22" spans="1:13" ht="15.75" thickBot="1" x14ac:dyDescent="0.3">
      <c r="A22" s="12" t="s">
        <v>26</v>
      </c>
      <c r="B22" s="8"/>
      <c r="C22" s="8"/>
      <c r="D22" s="8"/>
      <c r="E22" s="8"/>
      <c r="F22" s="8"/>
      <c r="G22" s="8"/>
      <c r="H22" s="8"/>
      <c r="I22" s="14">
        <f>+I20+I9</f>
        <v>80</v>
      </c>
      <c r="J22" s="14">
        <f>+J20+J9</f>
        <v>40</v>
      </c>
      <c r="K22" s="14">
        <f>+K20+K9</f>
        <v>40</v>
      </c>
      <c r="L22" s="14">
        <f>+L20+L9</f>
        <v>0</v>
      </c>
      <c r="M22" s="14">
        <f>+M20+M9</f>
        <v>0</v>
      </c>
    </row>
    <row r="23" spans="1:13" ht="15.75" thickTop="1" x14ac:dyDescent="0.25"/>
    <row r="25" spans="1:13" ht="15.75" thickBot="1" x14ac:dyDescent="0.3">
      <c r="A25" s="12" t="s">
        <v>27</v>
      </c>
      <c r="B25" s="8"/>
      <c r="C25" s="8"/>
      <c r="D25" s="8"/>
      <c r="E25" s="8"/>
      <c r="F25" s="8"/>
      <c r="G25" s="8"/>
      <c r="H25" s="8"/>
      <c r="I25" s="14"/>
      <c r="J25" s="14">
        <v>40</v>
      </c>
      <c r="K25" s="14">
        <v>40</v>
      </c>
      <c r="L25" s="14">
        <v>40</v>
      </c>
      <c r="M25" s="14">
        <v>40</v>
      </c>
    </row>
    <row r="26" spans="1:13" ht="16.5" thickTop="1" thickBot="1" x14ac:dyDescent="0.3">
      <c r="A26" s="12" t="s">
        <v>28</v>
      </c>
      <c r="B26" s="8"/>
      <c r="C26" s="8"/>
      <c r="D26" s="8"/>
      <c r="E26" s="8"/>
      <c r="F26" s="8"/>
      <c r="G26" s="8"/>
      <c r="H26" s="8"/>
      <c r="I26" s="14"/>
      <c r="J26" s="14">
        <f>+J25-J22</f>
        <v>0</v>
      </c>
      <c r="K26" s="14">
        <f t="shared" ref="K26:M26" si="1">+K25-K22</f>
        <v>0</v>
      </c>
      <c r="L26" s="14">
        <f t="shared" si="1"/>
        <v>40</v>
      </c>
      <c r="M26" s="14">
        <f t="shared" si="1"/>
        <v>40</v>
      </c>
    </row>
    <row r="27" spans="1:13" ht="15.75" thickTop="1" x14ac:dyDescent="0.25"/>
  </sheetData>
  <protectedRanges>
    <protectedRange sqref="A8:XFD8 F11:XFD19 A11:D19" name="Range1"/>
    <protectedRange sqref="E11:E19" name="Range1_3"/>
  </protectedRanges>
  <autoFilter ref="A7:M20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24939E-069D-42E4-B872-9DFA70836B65}">
          <x14:formula1>
            <xm:f>Status!$B$15:$B$22</xm:f>
          </x14:formula1>
          <xm:sqref>H11:H19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2"/>
  <sheetViews>
    <sheetView workbookViewId="0">
      <selection activeCell="C3" sqref="C3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3" spans="2:3" ht="16.5" x14ac:dyDescent="0.25">
      <c r="B3" s="21" t="s">
        <v>39</v>
      </c>
      <c r="C3" s="21" t="s">
        <v>40</v>
      </c>
    </row>
    <row r="4" spans="2:3" x14ac:dyDescent="0.25">
      <c r="B4" s="22" t="s">
        <v>41</v>
      </c>
      <c r="C4" s="23" t="s">
        <v>42</v>
      </c>
    </row>
    <row r="5" spans="2:3" x14ac:dyDescent="0.25">
      <c r="B5" s="22" t="s">
        <v>43</v>
      </c>
      <c r="C5" s="23" t="s">
        <v>44</v>
      </c>
    </row>
    <row r="6" spans="2:3" x14ac:dyDescent="0.25">
      <c r="B6" s="22" t="s">
        <v>45</v>
      </c>
      <c r="C6" s="23" t="s">
        <v>46</v>
      </c>
    </row>
    <row r="7" spans="2:3" x14ac:dyDescent="0.25">
      <c r="B7" s="22" t="s">
        <v>47</v>
      </c>
      <c r="C7" s="23" t="s">
        <v>48</v>
      </c>
    </row>
    <row r="8" spans="2:3" x14ac:dyDescent="0.25">
      <c r="B8" s="22" t="s">
        <v>49</v>
      </c>
      <c r="C8" s="23" t="s">
        <v>50</v>
      </c>
    </row>
    <row r="9" spans="2:3" x14ac:dyDescent="0.25">
      <c r="B9" s="22" t="s">
        <v>51</v>
      </c>
      <c r="C9" s="23" t="s">
        <v>52</v>
      </c>
    </row>
    <row r="10" spans="2:3" x14ac:dyDescent="0.25">
      <c r="B10" s="22" t="s">
        <v>53</v>
      </c>
      <c r="C10" s="23" t="s">
        <v>54</v>
      </c>
    </row>
    <row r="11" spans="2:3" x14ac:dyDescent="0.25">
      <c r="B11" s="22" t="s">
        <v>55</v>
      </c>
      <c r="C11" s="23" t="s">
        <v>56</v>
      </c>
    </row>
    <row r="12" spans="2:3" x14ac:dyDescent="0.25">
      <c r="B12" s="22" t="s">
        <v>57</v>
      </c>
      <c r="C12" s="24" t="s">
        <v>58</v>
      </c>
    </row>
    <row r="14" spans="2:3" ht="16.5" x14ac:dyDescent="0.25">
      <c r="B14" s="21" t="s">
        <v>59</v>
      </c>
      <c r="C14" s="21" t="s">
        <v>40</v>
      </c>
    </row>
    <row r="15" spans="2:3" x14ac:dyDescent="0.25">
      <c r="B15" s="25" t="s">
        <v>20</v>
      </c>
      <c r="C15" s="23" t="s">
        <v>60</v>
      </c>
    </row>
    <row r="16" spans="2:3" x14ac:dyDescent="0.25">
      <c r="B16" s="25" t="s">
        <v>61</v>
      </c>
      <c r="C16" s="23" t="s">
        <v>62</v>
      </c>
    </row>
    <row r="17" spans="2:3" x14ac:dyDescent="0.25">
      <c r="B17" s="25" t="s">
        <v>63</v>
      </c>
      <c r="C17" s="23" t="s">
        <v>64</v>
      </c>
    </row>
    <row r="18" spans="2:3" x14ac:dyDescent="0.25">
      <c r="B18" s="25" t="s">
        <v>29</v>
      </c>
      <c r="C18" s="23" t="s">
        <v>65</v>
      </c>
    </row>
    <row r="19" spans="2:3" x14ac:dyDescent="0.25">
      <c r="B19" s="25" t="s">
        <v>30</v>
      </c>
      <c r="C19" s="23" t="s">
        <v>66</v>
      </c>
    </row>
    <row r="20" spans="2:3" x14ac:dyDescent="0.25">
      <c r="B20" s="25" t="s">
        <v>67</v>
      </c>
      <c r="C20" s="23" t="s">
        <v>68</v>
      </c>
    </row>
    <row r="21" spans="2:3" x14ac:dyDescent="0.25">
      <c r="B21" s="25" t="s">
        <v>69</v>
      </c>
      <c r="C21" s="23" t="s">
        <v>70</v>
      </c>
    </row>
    <row r="22" spans="2:3" x14ac:dyDescent="0.25">
      <c r="B22" s="25" t="s">
        <v>71</v>
      </c>
      <c r="C22" s="23" t="s">
        <v>72</v>
      </c>
    </row>
  </sheetData>
  <protectedRanges>
    <protectedRange sqref="C12" name="Range1_1"/>
  </protectedRange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7"/>
  <sheetViews>
    <sheetView workbookViewId="0">
      <selection activeCell="A7" sqref="A7"/>
    </sheetView>
  </sheetViews>
  <sheetFormatPr defaultRowHeight="15" x14ac:dyDescent="0.25"/>
  <cols>
    <col min="1" max="1" width="79.7109375" bestFit="1" customWidth="1"/>
  </cols>
  <sheetData>
    <row r="1" spans="1:1" s="16" customFormat="1" ht="16.5" thickBot="1" x14ac:dyDescent="0.3">
      <c r="A1" s="18" t="s">
        <v>31</v>
      </c>
    </row>
    <row r="2" spans="1:1" s="16" customFormat="1" ht="15.75" x14ac:dyDescent="0.25">
      <c r="A2" s="17"/>
    </row>
    <row r="3" spans="1:1" ht="15.75" x14ac:dyDescent="0.25">
      <c r="A3" s="15" t="s">
        <v>32</v>
      </c>
    </row>
    <row r="4" spans="1:1" ht="15.75" x14ac:dyDescent="0.25">
      <c r="A4" s="15" t="s">
        <v>33</v>
      </c>
    </row>
    <row r="5" spans="1:1" ht="15.75" x14ac:dyDescent="0.25">
      <c r="A5" s="15" t="s">
        <v>34</v>
      </c>
    </row>
    <row r="6" spans="1:1" ht="15.75" x14ac:dyDescent="0.25">
      <c r="A6" s="15" t="s">
        <v>35</v>
      </c>
    </row>
    <row r="7" spans="1:1" ht="15.75" x14ac:dyDescent="0.25">
      <c r="A7" s="15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Anantkumar Suthar</cp:lastModifiedBy>
  <cp:revision/>
  <dcterms:created xsi:type="dcterms:W3CDTF">2015-06-05T18:17:20Z</dcterms:created>
  <dcterms:modified xsi:type="dcterms:W3CDTF">2026-05-01T16:35:08Z</dcterms:modified>
  <cp:category/>
  <cp:contentStatus/>
</cp:coreProperties>
</file>