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742C0A9C-1CC2-46E5-B47E-C9B96B4B87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K58" i="1"/>
  <c r="K57" i="1"/>
  <c r="J58" i="1"/>
  <c r="J57" i="1"/>
  <c r="I49" i="1"/>
  <c r="N63" i="1"/>
  <c r="N54" i="1"/>
  <c r="M54" i="1"/>
  <c r="L54" i="1"/>
  <c r="J54" i="1"/>
  <c r="I61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I52" i="1"/>
  <c r="K54" i="1" l="1"/>
  <c r="N65" i="1"/>
  <c r="N69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50" i="1"/>
  <c r="I51" i="1"/>
  <c r="I11" i="1"/>
  <c r="I12" i="1"/>
  <c r="I60" i="1"/>
  <c r="I59" i="1"/>
  <c r="I58" i="1"/>
  <c r="I57" i="1"/>
  <c r="I63" i="1" l="1"/>
  <c r="I9" i="1"/>
  <c r="I10" i="1"/>
  <c r="J63" i="1"/>
  <c r="J65" i="1" s="1"/>
  <c r="I54" i="1" l="1"/>
  <c r="M63" i="1"/>
  <c r="L63" i="1"/>
  <c r="K63" i="1"/>
  <c r="K6" i="1"/>
  <c r="L6" i="1" s="1"/>
  <c r="M6" i="1" s="1"/>
  <c r="N6" i="1" s="1"/>
  <c r="M65" i="1" l="1"/>
  <c r="M69" i="1" s="1"/>
  <c r="J69" i="1"/>
  <c r="L65" i="1"/>
  <c r="L69" i="1" s="1"/>
  <c r="I65" i="1"/>
  <c r="K65" i="1" l="1"/>
  <c r="K69" i="1" s="1"/>
</calcChain>
</file>

<file path=xl/sharedStrings.xml><?xml version="1.0" encoding="utf-8"?>
<sst xmlns="http://schemas.openxmlformats.org/spreadsheetml/2006/main" count="262" uniqueCount="120">
  <si>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</si>
  <si>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</si>
  <si>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</si>
  <si>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</si>
  <si>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</si>
  <si>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</si>
  <si>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</si>
  <si>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</si>
  <si>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</si>
  <si>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</si>
  <si>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</si>
  <si>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</si>
  <si>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</si>
  <si>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</si>
  <si>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</si>
  <si>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</si>
  <si>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</si>
  <si>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</si>
  <si>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</si>
  <si>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</si>
  <si>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</si>
  <si>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</si>
  <si>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</si>
  <si>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</si>
  <si>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</si>
  <si>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</si>
  <si>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</si>
  <si>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</si>
  <si>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</si>
  <si>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</si>
  <si>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</si>
  <si>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</si>
  <si>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</si>
  <si>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</si>
  <si>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</si>
  <si>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</si>
  <si>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</si>
  <si>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</si>
  <si>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</si>
  <si>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</si>
  <si>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</si>
  <si>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</si>
  <si>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</si>
  <si>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</si>
  <si>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</si>
  <si>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</si>
  <si>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</si>
  <si>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</si>
  <si>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</si>
  <si>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</si>
  <si>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</si>
  <si>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</si>
  <si>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</si>
  <si>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</si>
  <si>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</si>
  <si>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</si>
  <si>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</si>
  <si>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</si>
  <si>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</si>
  <si>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</si>
  <si>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</si>
  <si>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</si>
  <si>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</si>
  <si>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</si>
  <si>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</si>
  <si>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</si>
  <si>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</si>
  <si>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</si>
  <si>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</si>
  <si>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</si>
  <si>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</si>
  <si>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</si>
  <si>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Sunil Hadiel</t>
  </si>
  <si>
    <t>Bearden Stroup &amp; Associates CPAs</t>
  </si>
  <si>
    <t>DFS Electric LLC</t>
  </si>
  <si>
    <t>Hailes Home Repair</t>
  </si>
  <si>
    <t>Cognitiva</t>
  </si>
  <si>
    <t>Huntsville Painting</t>
  </si>
  <si>
    <t>James Consultants</t>
  </si>
  <si>
    <t>JM Counselling</t>
  </si>
  <si>
    <t>Lyvonne Farmer Inc</t>
  </si>
  <si>
    <t>Must Love Dogs</t>
  </si>
  <si>
    <t>A&amp;J Electric</t>
  </si>
  <si>
    <t>Emmett Blevins</t>
  </si>
  <si>
    <t>Davies Auto Service Center LLC</t>
  </si>
  <si>
    <t>Cat's Boxes Inc</t>
  </si>
  <si>
    <t>Hanna Properties</t>
  </si>
  <si>
    <t>David Frederick</t>
  </si>
  <si>
    <t>Medical Asset Group</t>
  </si>
  <si>
    <t>Huntsville Blonding Babe</t>
  </si>
  <si>
    <t>JcarR Inc</t>
  </si>
  <si>
    <t>Fulgenzi Renovations</t>
  </si>
  <si>
    <t>Jeff Norman Enterprises Inc</t>
  </si>
  <si>
    <t>Papa G's</t>
  </si>
  <si>
    <t>Rehab Services Group</t>
  </si>
  <si>
    <t>Roland Machine</t>
  </si>
  <si>
    <t>Seniors LTC</t>
  </si>
  <si>
    <t>Somers Consulting</t>
  </si>
  <si>
    <t>Todd's Rods</t>
  </si>
  <si>
    <t>Daniels Law</t>
  </si>
  <si>
    <t>Decibel Floors</t>
  </si>
  <si>
    <t>Carter Septic &amp; Concrete Products LLC</t>
  </si>
  <si>
    <t>Face to Face Marketing, LLC</t>
  </si>
  <si>
    <t>Mullins Construction Co Inc</t>
  </si>
  <si>
    <t>Final Act LLC</t>
  </si>
  <si>
    <t>Circle J Western Store Inc</t>
  </si>
  <si>
    <t>Fleet Technologist LLC</t>
  </si>
  <si>
    <t>Kentish Transportation Inc</t>
  </si>
  <si>
    <t>Michael Rosenblum Inc</t>
  </si>
  <si>
    <t>North Alabama Appliance Service</t>
  </si>
  <si>
    <t>Admin-Genral</t>
  </si>
  <si>
    <t>Checking Teams Messages/ Qount and Emails</t>
  </si>
  <si>
    <t xml:space="preserve">Training </t>
  </si>
  <si>
    <t>Internal Call with Sandip bhai</t>
  </si>
  <si>
    <t>Sandeepkumar Chavda</t>
  </si>
  <si>
    <t>Week 5</t>
  </si>
  <si>
    <t>Staff</t>
  </si>
  <si>
    <t>Bookworks Accounting &amp; Bookkeeping, LLC</t>
  </si>
  <si>
    <t xml:space="preserve">Decibel Floors 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</si>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</sst>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0" fillId="0" borderId="0" xfId="0" applyAlignment="1">
      <alignment vertical="center"/>
    </xf>
    <xf numFmtId="43" fontId="0" fillId="0" borderId="0" xfId="1" applyFont="1" applyFill="1"/>
    <xf numFmtId="43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43" fontId="1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43" fontId="1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47625</xdr:rowOff>
    </xdr:from>
    <xdr:to>
      <xdr:col>0</xdr:col>
      <xdr:colOff>3334205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="85" zoomScaleNormal="85" workbookViewId="0">
      <pane xSplit="2" ySplit="7" topLeftCell="E42" activePane="bottomRight" state="frozen"/>
      <selection pane="topRight" activeCell="C1" sqref="C1"/>
      <selection pane="bottomLeft" activeCell="A7" sqref="A7"/>
      <selection pane="bottomRight" activeCell="G51" sqref="G51"/>
    </sheetView>
  </sheetViews>
  <sheetFormatPr defaultRowHeight="15" x14ac:dyDescent="0.25"/>
  <cols>
    <col min="1" max="1" width="24.5703125" bestFit="1" customWidth="1"/>
    <col min="2" max="2" width="34.5703125" customWidth="1"/>
    <col min="3" max="3" width="35.85546875" customWidth="1"/>
    <col min="4" max="4" width="44" customWidth="1"/>
    <col min="5" max="5" width="11.7109375" customWidth="1"/>
    <col min="6" max="6" width="13.5703125" customWidth="1"/>
    <col min="7" max="7" width="13.140625" customWidth="1"/>
    <col min="8" max="8" width="33.5703125" style="36" bestFit="1" customWidth="1"/>
    <col min="9" max="9" width="8.42578125" customWidth="1"/>
    <col min="10" max="11" width="10.7109375" bestFit="1" customWidth="1"/>
    <col min="12" max="12" width="10.7109375" style="29" bestFit="1" customWidth="1"/>
    <col min="13" max="13" width="10.7109375" customWidth="1"/>
    <col min="14" max="14" width="10.85546875" bestFit="1" customWidth="1"/>
  </cols>
  <sheetData>
    <row r="1" spans="1:14" x14ac:dyDescent="0.25">
      <c r="A1" s="1" t="s">
        <v>0</v>
      </c>
      <c r="H1" s="34"/>
    </row>
    <row r="2" spans="1:14" x14ac:dyDescent="0.25">
      <c r="A2" s="1" t="s">
        <v>1</v>
      </c>
      <c r="B2" s="9" t="s">
        <v>72</v>
      </c>
      <c r="C2" s="9"/>
      <c r="H2" s="35"/>
      <c r="I2" s="1"/>
      <c r="J2" s="10"/>
      <c r="K2" s="10"/>
      <c r="L2" s="30"/>
      <c r="M2" s="10"/>
    </row>
    <row r="3" spans="1:14" x14ac:dyDescent="0.25">
      <c r="A3" s="1" t="s">
        <v>2</v>
      </c>
      <c r="B3" s="9" t="s">
        <v>116</v>
      </c>
      <c r="C3" s="9"/>
      <c r="H3" s="35"/>
      <c r="I3" s="1"/>
      <c r="J3" s="10"/>
      <c r="K3" s="10"/>
      <c r="L3" s="30"/>
      <c r="M3" s="10"/>
    </row>
    <row r="4" spans="1:14" x14ac:dyDescent="0.25">
      <c r="A4" s="1" t="s">
        <v>3</v>
      </c>
      <c r="B4" s="9" t="s">
        <v>114</v>
      </c>
      <c r="C4" s="9"/>
      <c r="H4" s="35"/>
      <c r="I4" s="1"/>
      <c r="J4" s="10"/>
      <c r="K4" s="10"/>
      <c r="L4" s="30"/>
      <c r="M4" s="10"/>
    </row>
    <row r="5" spans="1:14" x14ac:dyDescent="0.25">
      <c r="A5" s="1"/>
      <c r="B5" s="9"/>
      <c r="C5" s="9"/>
    </row>
    <row r="6" spans="1:14" x14ac:dyDescent="0.25">
      <c r="I6" s="7" t="s">
        <v>4</v>
      </c>
      <c r="J6" s="25">
        <v>46146</v>
      </c>
      <c r="K6" s="2">
        <f>J6+7</f>
        <v>46153</v>
      </c>
      <c r="L6" s="31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2" t="s">
        <v>37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115</v>
      </c>
    </row>
    <row r="8" spans="1:14" x14ac:dyDescent="0.25">
      <c r="A8" s="6" t="s">
        <v>17</v>
      </c>
      <c r="B8" s="4"/>
      <c r="C8" s="4"/>
      <c r="D8" s="22"/>
      <c r="E8" s="4"/>
      <c r="F8" s="4"/>
      <c r="G8" s="4"/>
      <c r="H8" s="37"/>
      <c r="I8" s="4"/>
      <c r="J8" s="4"/>
      <c r="K8" s="4"/>
      <c r="L8" s="4"/>
      <c r="M8" s="4"/>
      <c r="N8" s="5"/>
    </row>
    <row r="9" spans="1:14" x14ac:dyDescent="0.25">
      <c r="A9">
        <v>1</v>
      </c>
      <c r="B9" t="s">
        <v>73</v>
      </c>
      <c r="C9" t="s">
        <v>74</v>
      </c>
      <c r="D9" s="23" t="s">
        <v>39</v>
      </c>
      <c r="E9" s="2">
        <v>46143</v>
      </c>
      <c r="F9" s="31">
        <v>46173</v>
      </c>
      <c r="G9" s="2"/>
      <c r="H9" s="38" t="s">
        <v>57</v>
      </c>
      <c r="I9" s="12">
        <f t="shared" ref="I9:I51" si="0">SUM(J9:N9)</f>
        <v>0</v>
      </c>
      <c r="J9" s="12"/>
      <c r="K9" s="12"/>
      <c r="L9" s="28"/>
      <c r="M9" s="12"/>
    </row>
    <row r="10" spans="1:14" x14ac:dyDescent="0.25">
      <c r="A10">
        <f>+A9+1</f>
        <v>2</v>
      </c>
      <c r="B10" t="s">
        <v>73</v>
      </c>
      <c r="C10" t="s">
        <v>75</v>
      </c>
      <c r="D10" s="23" t="s">
        <v>39</v>
      </c>
      <c r="E10" s="2">
        <v>46143</v>
      </c>
      <c r="F10" s="31">
        <v>46173</v>
      </c>
      <c r="G10" s="2"/>
      <c r="H10" s="38" t="s">
        <v>57</v>
      </c>
      <c r="I10" s="12">
        <f t="shared" si="0"/>
        <v>1.5</v>
      </c>
      <c r="J10" s="12">
        <v>1.5</v>
      </c>
      <c r="K10" s="12"/>
      <c r="L10" s="28"/>
      <c r="M10" s="12"/>
    </row>
    <row r="11" spans="1:14" x14ac:dyDescent="0.25">
      <c r="A11">
        <f t="shared" ref="A11:A53" si="1">+A10+1</f>
        <v>3</v>
      </c>
      <c r="B11" t="s">
        <v>73</v>
      </c>
      <c r="C11" t="s">
        <v>76</v>
      </c>
      <c r="D11" s="23" t="s">
        <v>39</v>
      </c>
      <c r="E11" s="2">
        <v>46143</v>
      </c>
      <c r="F11" s="31">
        <v>46173</v>
      </c>
      <c r="G11" s="2"/>
      <c r="H11" s="38" t="s">
        <v>35</v>
      </c>
      <c r="I11" s="12">
        <f t="shared" si="0"/>
        <v>0</v>
      </c>
      <c r="J11" s="27"/>
      <c r="K11" s="27"/>
      <c r="L11" s="28"/>
      <c r="M11" s="27"/>
    </row>
    <row r="12" spans="1:14" x14ac:dyDescent="0.25">
      <c r="A12">
        <f t="shared" si="1"/>
        <v>4</v>
      </c>
      <c r="B12" t="s">
        <v>73</v>
      </c>
      <c r="C12" t="s">
        <v>77</v>
      </c>
      <c r="D12" s="23" t="s">
        <v>39</v>
      </c>
      <c r="E12" s="2">
        <v>46143</v>
      </c>
      <c r="F12" s="31">
        <v>46173</v>
      </c>
      <c r="G12" s="2"/>
      <c r="H12" s="38" t="s">
        <v>57</v>
      </c>
      <c r="I12" s="12">
        <f t="shared" si="0"/>
        <v>2.5</v>
      </c>
      <c r="J12" s="27">
        <v>2.5</v>
      </c>
      <c r="K12" s="27"/>
      <c r="L12" s="28"/>
      <c r="M12" s="27"/>
    </row>
    <row r="13" spans="1:14" x14ac:dyDescent="0.25">
      <c r="A13">
        <f t="shared" si="1"/>
        <v>5</v>
      </c>
      <c r="B13" t="s">
        <v>73</v>
      </c>
      <c r="C13" t="s">
        <v>78</v>
      </c>
      <c r="D13" s="23" t="s">
        <v>39</v>
      </c>
      <c r="E13" s="2">
        <v>46143</v>
      </c>
      <c r="F13" s="31">
        <v>46173</v>
      </c>
      <c r="G13" s="2"/>
      <c r="H13" s="38" t="s">
        <v>57</v>
      </c>
      <c r="I13" s="12">
        <f t="shared" si="0"/>
        <v>1.2</v>
      </c>
      <c r="J13" s="27">
        <v>1.2</v>
      </c>
      <c r="K13" s="27"/>
      <c r="L13" s="28"/>
      <c r="M13" s="27"/>
    </row>
    <row r="14" spans="1:14" x14ac:dyDescent="0.25">
      <c r="A14">
        <f t="shared" si="1"/>
        <v>6</v>
      </c>
      <c r="B14" t="s">
        <v>73</v>
      </c>
      <c r="C14" t="s">
        <v>79</v>
      </c>
      <c r="D14" s="23" t="s">
        <v>39</v>
      </c>
      <c r="E14" s="2">
        <v>46143</v>
      </c>
      <c r="F14" s="31">
        <v>46173</v>
      </c>
      <c r="G14" s="2"/>
      <c r="H14" s="38" t="s">
        <v>57</v>
      </c>
      <c r="I14" s="12">
        <f t="shared" si="0"/>
        <v>1.3</v>
      </c>
      <c r="J14" s="27">
        <v>1.3</v>
      </c>
      <c r="K14" s="27"/>
      <c r="L14" s="28"/>
      <c r="M14" s="27"/>
    </row>
    <row r="15" spans="1:14" x14ac:dyDescent="0.25">
      <c r="A15">
        <f t="shared" si="1"/>
        <v>7</v>
      </c>
      <c r="B15" t="s">
        <v>73</v>
      </c>
      <c r="C15" t="s">
        <v>80</v>
      </c>
      <c r="D15" s="23" t="s">
        <v>39</v>
      </c>
      <c r="E15" s="2">
        <v>46143</v>
      </c>
      <c r="F15" s="31">
        <v>46173</v>
      </c>
      <c r="G15" s="2"/>
      <c r="H15" s="38" t="s">
        <v>57</v>
      </c>
      <c r="I15" s="12">
        <f t="shared" si="0"/>
        <v>2.25</v>
      </c>
      <c r="J15" s="27">
        <v>2.25</v>
      </c>
      <c r="K15" s="27"/>
      <c r="L15" s="28"/>
      <c r="M15" s="27"/>
    </row>
    <row r="16" spans="1:14" x14ac:dyDescent="0.25">
      <c r="A16">
        <f t="shared" si="1"/>
        <v>8</v>
      </c>
      <c r="B16" t="s">
        <v>73</v>
      </c>
      <c r="C16" t="s">
        <v>81</v>
      </c>
      <c r="D16" s="23" t="s">
        <v>39</v>
      </c>
      <c r="E16" s="2">
        <v>46143</v>
      </c>
      <c r="F16" s="31">
        <v>46173</v>
      </c>
      <c r="G16" s="2"/>
      <c r="H16" s="38" t="s">
        <v>57</v>
      </c>
      <c r="I16" s="12">
        <f t="shared" si="0"/>
        <v>2</v>
      </c>
      <c r="J16" s="27"/>
      <c r="K16" s="27">
        <v>2</v>
      </c>
      <c r="L16" s="28"/>
      <c r="M16" s="27"/>
    </row>
    <row r="17" spans="1:13" x14ac:dyDescent="0.25">
      <c r="A17">
        <f t="shared" si="1"/>
        <v>9</v>
      </c>
      <c r="B17" t="s">
        <v>73</v>
      </c>
      <c r="C17" t="s">
        <v>82</v>
      </c>
      <c r="D17" s="23" t="s">
        <v>39</v>
      </c>
      <c r="E17" s="2">
        <v>46143</v>
      </c>
      <c r="F17" s="31">
        <v>46173</v>
      </c>
      <c r="G17" s="2"/>
      <c r="H17" s="38" t="s">
        <v>57</v>
      </c>
      <c r="I17" s="12">
        <f t="shared" si="0"/>
        <v>2.5</v>
      </c>
      <c r="J17" s="27">
        <v>2.5</v>
      </c>
      <c r="K17" s="27"/>
      <c r="L17" s="28"/>
      <c r="M17" s="27"/>
    </row>
    <row r="18" spans="1:13" x14ac:dyDescent="0.25">
      <c r="A18">
        <f t="shared" si="1"/>
        <v>10</v>
      </c>
      <c r="B18" t="s">
        <v>73</v>
      </c>
      <c r="C18" t="s">
        <v>83</v>
      </c>
      <c r="D18" s="23" t="s">
        <v>39</v>
      </c>
      <c r="E18" s="2">
        <v>46143</v>
      </c>
      <c r="F18" s="31">
        <v>46173</v>
      </c>
      <c r="G18" s="2"/>
      <c r="H18" s="38" t="s">
        <v>57</v>
      </c>
      <c r="I18" s="12">
        <f t="shared" si="0"/>
        <v>1.5</v>
      </c>
      <c r="J18" s="27"/>
      <c r="K18" s="27">
        <v>1.5</v>
      </c>
      <c r="L18" s="28"/>
      <c r="M18" s="27"/>
    </row>
    <row r="19" spans="1:13" x14ac:dyDescent="0.25">
      <c r="A19">
        <f t="shared" si="1"/>
        <v>11</v>
      </c>
      <c r="B19" t="s">
        <v>73</v>
      </c>
      <c r="C19" t="s">
        <v>84</v>
      </c>
      <c r="D19" s="23" t="s">
        <v>39</v>
      </c>
      <c r="E19" s="2">
        <v>46143</v>
      </c>
      <c r="F19" s="31">
        <v>46173</v>
      </c>
      <c r="G19" s="2"/>
      <c r="H19" s="38" t="s">
        <v>57</v>
      </c>
      <c r="I19" s="12">
        <f t="shared" si="0"/>
        <v>2</v>
      </c>
      <c r="J19" s="27">
        <v>2</v>
      </c>
      <c r="K19" s="27"/>
      <c r="L19" s="28"/>
      <c r="M19" s="27"/>
    </row>
    <row r="20" spans="1:13" x14ac:dyDescent="0.25">
      <c r="A20">
        <f t="shared" si="1"/>
        <v>12</v>
      </c>
      <c r="B20" t="s">
        <v>73</v>
      </c>
      <c r="C20" t="s">
        <v>85</v>
      </c>
      <c r="D20" s="23" t="s">
        <v>39</v>
      </c>
      <c r="E20" s="2">
        <v>46143</v>
      </c>
      <c r="F20" s="31">
        <v>46173</v>
      </c>
      <c r="G20" s="2"/>
      <c r="H20" s="38" t="s">
        <v>57</v>
      </c>
      <c r="I20" s="12">
        <f t="shared" si="0"/>
        <v>2</v>
      </c>
      <c r="J20" s="27"/>
      <c r="K20" s="27">
        <v>2</v>
      </c>
      <c r="L20" s="28"/>
      <c r="M20" s="27"/>
    </row>
    <row r="21" spans="1:13" x14ac:dyDescent="0.25">
      <c r="A21">
        <f t="shared" si="1"/>
        <v>13</v>
      </c>
      <c r="B21" t="s">
        <v>73</v>
      </c>
      <c r="C21" t="s">
        <v>86</v>
      </c>
      <c r="D21" s="23" t="s">
        <v>39</v>
      </c>
      <c r="E21" s="2">
        <v>46143</v>
      </c>
      <c r="F21" s="31">
        <v>46173</v>
      </c>
      <c r="G21" s="2"/>
      <c r="H21" s="38" t="s">
        <v>57</v>
      </c>
      <c r="I21" s="12">
        <f t="shared" si="0"/>
        <v>3</v>
      </c>
      <c r="J21" s="27">
        <v>3</v>
      </c>
      <c r="K21" s="27"/>
      <c r="L21" s="28"/>
      <c r="M21" s="27"/>
    </row>
    <row r="22" spans="1:13" x14ac:dyDescent="0.25">
      <c r="A22">
        <f t="shared" si="1"/>
        <v>14</v>
      </c>
      <c r="B22" t="s">
        <v>73</v>
      </c>
      <c r="C22" t="s">
        <v>87</v>
      </c>
      <c r="D22" s="23" t="s">
        <v>39</v>
      </c>
      <c r="E22" s="2">
        <v>46143</v>
      </c>
      <c r="F22" s="31">
        <v>46173</v>
      </c>
      <c r="G22" s="2"/>
      <c r="H22" s="38" t="s">
        <v>57</v>
      </c>
      <c r="I22" s="12">
        <f t="shared" si="0"/>
        <v>1.25</v>
      </c>
      <c r="J22" s="27"/>
      <c r="K22" s="27">
        <v>1.25</v>
      </c>
      <c r="L22" s="28"/>
      <c r="M22" s="27"/>
    </row>
    <row r="23" spans="1:13" x14ac:dyDescent="0.25">
      <c r="A23">
        <f t="shared" si="1"/>
        <v>15</v>
      </c>
      <c r="B23" t="s">
        <v>73</v>
      </c>
      <c r="C23" t="s">
        <v>88</v>
      </c>
      <c r="D23" s="23" t="s">
        <v>39</v>
      </c>
      <c r="E23" s="2">
        <v>46143</v>
      </c>
      <c r="F23" s="31">
        <v>46173</v>
      </c>
      <c r="G23" s="2"/>
      <c r="H23" s="38" t="s">
        <v>57</v>
      </c>
      <c r="I23" s="12">
        <f t="shared" si="0"/>
        <v>2.5</v>
      </c>
      <c r="J23" s="27">
        <v>2.5</v>
      </c>
      <c r="K23" s="27"/>
      <c r="L23" s="28"/>
      <c r="M23" s="27"/>
    </row>
    <row r="24" spans="1:13" x14ac:dyDescent="0.25">
      <c r="A24">
        <f t="shared" si="1"/>
        <v>16</v>
      </c>
      <c r="B24" t="s">
        <v>73</v>
      </c>
      <c r="C24" t="s">
        <v>89</v>
      </c>
      <c r="D24" s="23" t="s">
        <v>39</v>
      </c>
      <c r="E24" s="2">
        <v>46143</v>
      </c>
      <c r="F24" s="31">
        <v>46173</v>
      </c>
      <c r="G24" s="2"/>
      <c r="H24" s="38" t="s">
        <v>57</v>
      </c>
      <c r="I24" s="12">
        <f t="shared" si="0"/>
        <v>2.5</v>
      </c>
      <c r="J24" s="27"/>
      <c r="K24" s="27">
        <v>2.5</v>
      </c>
      <c r="L24" s="28"/>
      <c r="M24" s="27"/>
    </row>
    <row r="25" spans="1:13" x14ac:dyDescent="0.25">
      <c r="A25">
        <f t="shared" si="1"/>
        <v>17</v>
      </c>
      <c r="B25" t="s">
        <v>73</v>
      </c>
      <c r="C25" t="s">
        <v>90</v>
      </c>
      <c r="D25" s="23" t="s">
        <v>39</v>
      </c>
      <c r="E25" s="2">
        <v>46143</v>
      </c>
      <c r="F25" s="31">
        <v>46173</v>
      </c>
      <c r="G25" s="2"/>
      <c r="H25" s="38" t="s">
        <v>57</v>
      </c>
      <c r="I25" s="12">
        <f t="shared" si="0"/>
        <v>2</v>
      </c>
      <c r="J25" s="27"/>
      <c r="K25" s="27">
        <v>2</v>
      </c>
      <c r="L25" s="28"/>
      <c r="M25" s="27"/>
    </row>
    <row r="26" spans="1:13" x14ac:dyDescent="0.25">
      <c r="A26">
        <f t="shared" si="1"/>
        <v>18</v>
      </c>
      <c r="B26" t="s">
        <v>73</v>
      </c>
      <c r="C26" t="s">
        <v>91</v>
      </c>
      <c r="D26" s="23" t="s">
        <v>39</v>
      </c>
      <c r="E26" s="2">
        <v>46143</v>
      </c>
      <c r="F26" s="31">
        <v>46173</v>
      </c>
      <c r="G26" s="2"/>
      <c r="H26" s="38" t="s">
        <v>57</v>
      </c>
      <c r="I26" s="12">
        <f t="shared" si="0"/>
        <v>2.5</v>
      </c>
      <c r="J26" s="27"/>
      <c r="K26" s="27">
        <v>2.5</v>
      </c>
      <c r="L26" s="28"/>
      <c r="M26" s="27"/>
    </row>
    <row r="27" spans="1:13" x14ac:dyDescent="0.25">
      <c r="A27">
        <f t="shared" si="1"/>
        <v>19</v>
      </c>
      <c r="B27" t="s">
        <v>73</v>
      </c>
      <c r="C27" t="s">
        <v>92</v>
      </c>
      <c r="D27" s="23" t="s">
        <v>39</v>
      </c>
      <c r="E27" s="2">
        <v>46143</v>
      </c>
      <c r="F27" s="31">
        <v>46173</v>
      </c>
      <c r="G27" s="2"/>
      <c r="H27" s="38" t="s">
        <v>57</v>
      </c>
      <c r="I27" s="12">
        <f t="shared" si="0"/>
        <v>2</v>
      </c>
      <c r="J27" s="27"/>
      <c r="K27" s="27">
        <v>2</v>
      </c>
      <c r="L27" s="28"/>
      <c r="M27" s="27"/>
    </row>
    <row r="28" spans="1:13" x14ac:dyDescent="0.25">
      <c r="A28">
        <f t="shared" si="1"/>
        <v>20</v>
      </c>
      <c r="B28" t="s">
        <v>73</v>
      </c>
      <c r="C28" t="s">
        <v>93</v>
      </c>
      <c r="D28" s="23" t="s">
        <v>39</v>
      </c>
      <c r="E28" s="2">
        <v>46143</v>
      </c>
      <c r="F28" s="31">
        <v>46173</v>
      </c>
      <c r="G28" s="2"/>
      <c r="H28" s="38" t="s">
        <v>57</v>
      </c>
      <c r="I28" s="12">
        <f t="shared" si="0"/>
        <v>0</v>
      </c>
      <c r="J28" s="27"/>
      <c r="K28" s="27"/>
      <c r="L28" s="28"/>
      <c r="M28" s="27"/>
    </row>
    <row r="29" spans="1:13" x14ac:dyDescent="0.25">
      <c r="A29">
        <f t="shared" si="1"/>
        <v>21</v>
      </c>
      <c r="B29" t="s">
        <v>73</v>
      </c>
      <c r="C29" t="s">
        <v>94</v>
      </c>
      <c r="D29" s="23" t="s">
        <v>39</v>
      </c>
      <c r="E29" s="2">
        <v>46143</v>
      </c>
      <c r="F29" s="31">
        <v>46173</v>
      </c>
      <c r="G29" s="2"/>
      <c r="H29" s="38" t="s">
        <v>57</v>
      </c>
      <c r="I29" s="12">
        <f t="shared" si="0"/>
        <v>2</v>
      </c>
      <c r="J29" s="27"/>
      <c r="K29" s="27">
        <v>2</v>
      </c>
      <c r="L29" s="28"/>
      <c r="M29" s="27"/>
    </row>
    <row r="30" spans="1:13" x14ac:dyDescent="0.25">
      <c r="A30">
        <f t="shared" si="1"/>
        <v>22</v>
      </c>
      <c r="B30" t="s">
        <v>73</v>
      </c>
      <c r="C30" t="s">
        <v>95</v>
      </c>
      <c r="D30" s="23" t="s">
        <v>39</v>
      </c>
      <c r="E30" s="2">
        <v>46143</v>
      </c>
      <c r="F30" s="31">
        <v>46173</v>
      </c>
      <c r="G30" s="2"/>
      <c r="H30" s="38" t="s">
        <v>57</v>
      </c>
      <c r="I30" s="12">
        <f t="shared" si="0"/>
        <v>0</v>
      </c>
      <c r="J30" s="27"/>
      <c r="K30" s="27"/>
      <c r="L30" s="28"/>
      <c r="M30" s="27"/>
    </row>
    <row r="31" spans="1:13" x14ac:dyDescent="0.25">
      <c r="A31">
        <f t="shared" si="1"/>
        <v>23</v>
      </c>
      <c r="B31" t="s">
        <v>73</v>
      </c>
      <c r="C31" t="s">
        <v>96</v>
      </c>
      <c r="D31" s="23" t="s">
        <v>39</v>
      </c>
      <c r="E31" s="2">
        <v>46143</v>
      </c>
      <c r="F31" s="31">
        <v>46173</v>
      </c>
      <c r="G31" s="2"/>
      <c r="H31" s="38" t="s">
        <v>57</v>
      </c>
      <c r="I31" s="12">
        <f t="shared" si="0"/>
        <v>0</v>
      </c>
      <c r="J31" s="27"/>
      <c r="K31" s="27"/>
      <c r="L31" s="28"/>
      <c r="M31" s="27"/>
    </row>
    <row r="32" spans="1:13" x14ac:dyDescent="0.25">
      <c r="A32">
        <f t="shared" si="1"/>
        <v>24</v>
      </c>
      <c r="B32" t="s">
        <v>73</v>
      </c>
      <c r="C32" t="s">
        <v>97</v>
      </c>
      <c r="D32" s="23" t="s">
        <v>39</v>
      </c>
      <c r="E32" s="2">
        <v>46143</v>
      </c>
      <c r="F32" s="31">
        <v>46173</v>
      </c>
      <c r="G32" s="2"/>
      <c r="H32" s="38" t="s">
        <v>57</v>
      </c>
      <c r="I32" s="12">
        <f t="shared" si="0"/>
        <v>0</v>
      </c>
      <c r="J32" s="27"/>
      <c r="K32" s="27"/>
      <c r="L32" s="28"/>
      <c r="M32" s="27"/>
    </row>
    <row r="33" spans="1:13" x14ac:dyDescent="0.25">
      <c r="A33">
        <f t="shared" si="1"/>
        <v>25</v>
      </c>
      <c r="B33" t="s">
        <v>73</v>
      </c>
      <c r="C33" t="s">
        <v>98</v>
      </c>
      <c r="D33" s="23" t="s">
        <v>39</v>
      </c>
      <c r="E33" s="2">
        <v>46143</v>
      </c>
      <c r="F33" s="31">
        <v>46173</v>
      </c>
      <c r="G33" s="2"/>
      <c r="H33" s="38" t="s">
        <v>57</v>
      </c>
      <c r="I33" s="12">
        <f t="shared" si="0"/>
        <v>0</v>
      </c>
      <c r="J33" s="27"/>
      <c r="K33" s="27"/>
      <c r="L33" s="28"/>
      <c r="M33" s="27"/>
    </row>
    <row r="34" spans="1:13" x14ac:dyDescent="0.25">
      <c r="A34">
        <f t="shared" si="1"/>
        <v>26</v>
      </c>
      <c r="B34" t="s">
        <v>73</v>
      </c>
      <c r="C34" t="s">
        <v>99</v>
      </c>
      <c r="D34" s="23" t="s">
        <v>39</v>
      </c>
      <c r="E34" s="2">
        <v>46143</v>
      </c>
      <c r="F34" s="31">
        <v>46173</v>
      </c>
      <c r="G34" s="2"/>
      <c r="H34" s="38" t="s">
        <v>57</v>
      </c>
      <c r="I34" s="12">
        <f t="shared" si="0"/>
        <v>1</v>
      </c>
      <c r="J34" s="27"/>
      <c r="K34" s="27">
        <v>1</v>
      </c>
      <c r="L34" s="28"/>
      <c r="M34" s="27"/>
    </row>
    <row r="35" spans="1:13" x14ac:dyDescent="0.25">
      <c r="A35">
        <f t="shared" si="1"/>
        <v>27</v>
      </c>
      <c r="B35" t="s">
        <v>73</v>
      </c>
      <c r="C35" t="s">
        <v>100</v>
      </c>
      <c r="D35" s="23" t="s">
        <v>39</v>
      </c>
      <c r="E35" s="2">
        <v>46143</v>
      </c>
      <c r="F35" s="31">
        <v>46173</v>
      </c>
      <c r="G35" s="2"/>
      <c r="H35" s="38" t="s">
        <v>57</v>
      </c>
      <c r="I35" s="12">
        <f t="shared" si="0"/>
        <v>0</v>
      </c>
      <c r="J35" s="27"/>
      <c r="K35" s="27"/>
      <c r="L35" s="28"/>
      <c r="M35" s="27"/>
    </row>
    <row r="36" spans="1:13" x14ac:dyDescent="0.25">
      <c r="A36">
        <f t="shared" si="1"/>
        <v>28</v>
      </c>
      <c r="B36" t="s">
        <v>73</v>
      </c>
      <c r="C36" t="s">
        <v>101</v>
      </c>
      <c r="D36" s="23" t="s">
        <v>39</v>
      </c>
      <c r="E36" s="2">
        <v>46143</v>
      </c>
      <c r="F36" s="31">
        <v>46173</v>
      </c>
      <c r="G36" s="2"/>
      <c r="H36" s="38" t="s">
        <v>57</v>
      </c>
      <c r="I36" s="12">
        <f t="shared" si="0"/>
        <v>2</v>
      </c>
      <c r="J36" s="27">
        <v>2</v>
      </c>
      <c r="K36" s="27"/>
      <c r="L36" s="28"/>
      <c r="M36" s="27"/>
    </row>
    <row r="37" spans="1:13" x14ac:dyDescent="0.25">
      <c r="A37">
        <f t="shared" si="1"/>
        <v>29</v>
      </c>
      <c r="B37" t="s">
        <v>73</v>
      </c>
      <c r="C37" t="s">
        <v>102</v>
      </c>
      <c r="D37" s="23" t="s">
        <v>39</v>
      </c>
      <c r="E37" s="2">
        <v>46143</v>
      </c>
      <c r="F37" s="31">
        <v>46173</v>
      </c>
      <c r="G37" s="2"/>
      <c r="H37" s="38" t="s">
        <v>57</v>
      </c>
      <c r="I37" s="12">
        <f t="shared" si="0"/>
        <v>1.5</v>
      </c>
      <c r="J37" s="27">
        <v>1.5</v>
      </c>
      <c r="K37" s="27"/>
      <c r="L37" s="28"/>
      <c r="M37" s="27"/>
    </row>
    <row r="38" spans="1:13" x14ac:dyDescent="0.25">
      <c r="A38">
        <f t="shared" si="1"/>
        <v>30</v>
      </c>
      <c r="B38" t="s">
        <v>73</v>
      </c>
      <c r="C38" t="s">
        <v>103</v>
      </c>
      <c r="D38" s="23" t="s">
        <v>39</v>
      </c>
      <c r="E38" s="2">
        <v>46143</v>
      </c>
      <c r="F38" s="31">
        <v>46173</v>
      </c>
      <c r="G38" s="2"/>
      <c r="H38" s="38" t="s">
        <v>57</v>
      </c>
      <c r="I38" s="12">
        <f t="shared" si="0"/>
        <v>2.5</v>
      </c>
      <c r="J38" s="27">
        <v>2.5</v>
      </c>
      <c r="K38" s="27"/>
      <c r="L38" s="28"/>
      <c r="M38" s="27"/>
    </row>
    <row r="39" spans="1:13" x14ac:dyDescent="0.25">
      <c r="A39">
        <f t="shared" si="1"/>
        <v>31</v>
      </c>
      <c r="B39" t="s">
        <v>73</v>
      </c>
      <c r="C39" t="s">
        <v>104</v>
      </c>
      <c r="D39" s="23" t="s">
        <v>39</v>
      </c>
      <c r="E39" s="2">
        <v>46143</v>
      </c>
      <c r="F39" s="31">
        <v>46173</v>
      </c>
      <c r="G39" s="2"/>
      <c r="H39" s="38" t="s">
        <v>57</v>
      </c>
      <c r="I39" s="12">
        <f t="shared" si="0"/>
        <v>0</v>
      </c>
      <c r="J39" s="27"/>
      <c r="K39" s="27"/>
      <c r="L39" s="28"/>
      <c r="M39" s="27"/>
    </row>
    <row r="40" spans="1:13" x14ac:dyDescent="0.25">
      <c r="A40">
        <f t="shared" si="1"/>
        <v>32</v>
      </c>
      <c r="B40" t="s">
        <v>73</v>
      </c>
      <c r="C40" s="26" t="s">
        <v>74</v>
      </c>
      <c r="D40" s="23" t="s">
        <v>39</v>
      </c>
      <c r="E40" s="2">
        <v>46143</v>
      </c>
      <c r="F40" s="31">
        <v>46173</v>
      </c>
      <c r="G40" s="2"/>
      <c r="H40" s="38" t="s">
        <v>57</v>
      </c>
      <c r="I40" s="12">
        <f t="shared" si="0"/>
        <v>2</v>
      </c>
      <c r="J40" s="27">
        <v>2</v>
      </c>
      <c r="K40" s="27"/>
      <c r="L40" s="28"/>
      <c r="M40" s="27"/>
    </row>
    <row r="41" spans="1:13" x14ac:dyDescent="0.25">
      <c r="A41">
        <f t="shared" si="1"/>
        <v>33</v>
      </c>
      <c r="B41" t="s">
        <v>73</v>
      </c>
      <c r="C41" s="26" t="s">
        <v>75</v>
      </c>
      <c r="D41" s="23" t="s">
        <v>39</v>
      </c>
      <c r="E41" s="2">
        <v>46143</v>
      </c>
      <c r="F41" s="31">
        <v>46173</v>
      </c>
      <c r="G41" s="2"/>
      <c r="H41" s="38" t="s">
        <v>57</v>
      </c>
      <c r="I41" s="12">
        <f t="shared" si="0"/>
        <v>2</v>
      </c>
      <c r="J41" s="27">
        <v>2</v>
      </c>
      <c r="K41" s="27"/>
      <c r="M41" s="28"/>
    </row>
    <row r="42" spans="1:13" x14ac:dyDescent="0.25">
      <c r="A42">
        <f t="shared" si="1"/>
        <v>34</v>
      </c>
      <c r="B42" t="s">
        <v>73</v>
      </c>
      <c r="C42" s="26" t="s">
        <v>105</v>
      </c>
      <c r="D42" s="23" t="s">
        <v>39</v>
      </c>
      <c r="E42" s="2">
        <v>46143</v>
      </c>
      <c r="F42" s="31">
        <v>46173</v>
      </c>
      <c r="G42" s="2"/>
      <c r="H42" s="38" t="s">
        <v>57</v>
      </c>
      <c r="I42" s="12">
        <f t="shared" si="0"/>
        <v>1.5</v>
      </c>
      <c r="J42" s="27"/>
      <c r="K42" s="27">
        <v>1.5</v>
      </c>
      <c r="L42" s="28"/>
      <c r="M42" s="27"/>
    </row>
    <row r="43" spans="1:13" x14ac:dyDescent="0.25">
      <c r="A43">
        <f t="shared" si="1"/>
        <v>35</v>
      </c>
      <c r="B43" t="s">
        <v>73</v>
      </c>
      <c r="C43" s="26" t="s">
        <v>78</v>
      </c>
      <c r="D43" s="23" t="s">
        <v>39</v>
      </c>
      <c r="E43" s="2">
        <v>46143</v>
      </c>
      <c r="F43" s="31">
        <v>46173</v>
      </c>
      <c r="G43" s="2"/>
      <c r="H43" s="38" t="s">
        <v>57</v>
      </c>
      <c r="I43" s="12">
        <f t="shared" si="0"/>
        <v>1.5</v>
      </c>
      <c r="J43" s="27"/>
      <c r="K43" s="27">
        <v>1.5</v>
      </c>
      <c r="L43" s="28"/>
      <c r="M43" s="27"/>
    </row>
    <row r="44" spans="1:13" x14ac:dyDescent="0.25">
      <c r="A44">
        <f t="shared" si="1"/>
        <v>36</v>
      </c>
      <c r="B44" t="s">
        <v>73</v>
      </c>
      <c r="C44" s="26" t="s">
        <v>79</v>
      </c>
      <c r="D44" s="23" t="s">
        <v>39</v>
      </c>
      <c r="E44" s="2">
        <v>46143</v>
      </c>
      <c r="F44" s="31">
        <v>46173</v>
      </c>
      <c r="G44" s="2"/>
      <c r="H44" s="38" t="s">
        <v>57</v>
      </c>
      <c r="I44" s="12">
        <f t="shared" si="0"/>
        <v>1.5</v>
      </c>
      <c r="J44" s="27"/>
      <c r="K44" s="27">
        <v>1.5</v>
      </c>
      <c r="L44" s="28"/>
      <c r="M44" s="27"/>
    </row>
    <row r="45" spans="1:13" x14ac:dyDescent="0.25">
      <c r="A45">
        <f t="shared" si="1"/>
        <v>37</v>
      </c>
      <c r="B45" t="s">
        <v>73</v>
      </c>
      <c r="C45" s="26" t="s">
        <v>106</v>
      </c>
      <c r="D45" s="23" t="s">
        <v>39</v>
      </c>
      <c r="E45" s="2">
        <v>46143</v>
      </c>
      <c r="F45" s="31">
        <v>46173</v>
      </c>
      <c r="G45" s="2"/>
      <c r="H45" s="38" t="s">
        <v>57</v>
      </c>
      <c r="I45" s="12">
        <f t="shared" si="0"/>
        <v>2</v>
      </c>
      <c r="J45" s="27"/>
      <c r="K45" s="27">
        <v>2</v>
      </c>
      <c r="L45" s="28"/>
      <c r="M45" s="28"/>
    </row>
    <row r="46" spans="1:13" x14ac:dyDescent="0.25">
      <c r="A46">
        <f t="shared" si="1"/>
        <v>38</v>
      </c>
      <c r="B46" t="s">
        <v>73</v>
      </c>
      <c r="C46" s="26" t="s">
        <v>82</v>
      </c>
      <c r="D46" s="23" t="s">
        <v>39</v>
      </c>
      <c r="E46" s="2">
        <v>46143</v>
      </c>
      <c r="F46" s="31">
        <v>46173</v>
      </c>
      <c r="G46" s="2"/>
      <c r="H46" s="38" t="s">
        <v>57</v>
      </c>
      <c r="I46" s="12">
        <f t="shared" si="0"/>
        <v>1</v>
      </c>
      <c r="J46" s="27"/>
      <c r="K46" s="27">
        <v>1</v>
      </c>
      <c r="L46" s="28"/>
      <c r="M46" s="27"/>
    </row>
    <row r="47" spans="1:13" x14ac:dyDescent="0.25">
      <c r="A47">
        <f t="shared" si="1"/>
        <v>39</v>
      </c>
      <c r="B47" t="s">
        <v>73</v>
      </c>
      <c r="C47" s="26" t="s">
        <v>107</v>
      </c>
      <c r="D47" s="23" t="s">
        <v>39</v>
      </c>
      <c r="E47" s="2">
        <v>46143</v>
      </c>
      <c r="F47" s="31">
        <v>46173</v>
      </c>
      <c r="G47" s="2"/>
      <c r="H47" s="38" t="s">
        <v>57</v>
      </c>
      <c r="I47" s="12">
        <f t="shared" si="0"/>
        <v>2.5</v>
      </c>
      <c r="J47" s="27"/>
      <c r="K47" s="27">
        <v>2.5</v>
      </c>
      <c r="L47" s="28"/>
      <c r="M47" s="28"/>
    </row>
    <row r="48" spans="1:13" x14ac:dyDescent="0.25">
      <c r="A48">
        <f t="shared" si="1"/>
        <v>40</v>
      </c>
      <c r="B48" t="s">
        <v>73</v>
      </c>
      <c r="C48" s="26" t="s">
        <v>108</v>
      </c>
      <c r="D48" s="23" t="s">
        <v>39</v>
      </c>
      <c r="E48" s="2">
        <v>46143</v>
      </c>
      <c r="F48" s="31">
        <v>46173</v>
      </c>
      <c r="G48" s="2"/>
      <c r="H48" s="38" t="s">
        <v>57</v>
      </c>
      <c r="I48" s="12">
        <f t="shared" si="0"/>
        <v>0</v>
      </c>
      <c r="J48" s="27"/>
      <c r="K48" s="27"/>
      <c r="L48" s="28"/>
      <c r="M48" s="27"/>
    </row>
    <row r="49" spans="1:14" x14ac:dyDescent="0.25">
      <c r="A49">
        <f t="shared" si="1"/>
        <v>41</v>
      </c>
      <c r="B49" t="s">
        <v>73</v>
      </c>
      <c r="C49" s="26" t="s">
        <v>109</v>
      </c>
      <c r="D49" s="23" t="s">
        <v>39</v>
      </c>
      <c r="E49" s="2">
        <v>46143</v>
      </c>
      <c r="F49" s="31">
        <v>46173</v>
      </c>
      <c r="G49" s="2"/>
      <c r="H49" s="38" t="s">
        <v>57</v>
      </c>
      <c r="I49" s="12">
        <f t="shared" si="0"/>
        <v>0</v>
      </c>
      <c r="J49" s="27"/>
      <c r="K49" s="27"/>
      <c r="L49" s="28"/>
      <c r="M49" s="27"/>
    </row>
    <row r="50" spans="1:14" x14ac:dyDescent="0.25">
      <c r="A50">
        <f t="shared" si="1"/>
        <v>42</v>
      </c>
      <c r="B50" t="s">
        <v>73</v>
      </c>
      <c r="C50" s="26" t="s">
        <v>100</v>
      </c>
      <c r="D50" s="23" t="s">
        <v>39</v>
      </c>
      <c r="E50" s="2">
        <v>46143</v>
      </c>
      <c r="F50" s="31">
        <v>46173</v>
      </c>
      <c r="G50" s="2"/>
      <c r="H50" s="38" t="s">
        <v>57</v>
      </c>
      <c r="I50" s="12">
        <f t="shared" si="0"/>
        <v>0</v>
      </c>
      <c r="J50" s="27"/>
      <c r="K50" s="27"/>
      <c r="M50" s="27"/>
    </row>
    <row r="51" spans="1:14" x14ac:dyDescent="0.25">
      <c r="A51">
        <f t="shared" si="1"/>
        <v>43</v>
      </c>
      <c r="B51" t="s">
        <v>73</v>
      </c>
      <c r="C51" s="26" t="s">
        <v>102</v>
      </c>
      <c r="D51" s="23" t="s">
        <v>39</v>
      </c>
      <c r="E51" s="2">
        <v>46143</v>
      </c>
      <c r="F51" s="31">
        <v>46173</v>
      </c>
      <c r="G51" s="2"/>
      <c r="H51" s="38" t="s">
        <v>57</v>
      </c>
      <c r="I51" s="12">
        <f t="shared" si="0"/>
        <v>0</v>
      </c>
      <c r="J51" s="27"/>
      <c r="K51" s="27"/>
      <c r="M51" s="27"/>
    </row>
    <row r="52" spans="1:14" x14ac:dyDescent="0.25">
      <c r="A52">
        <f t="shared" si="1"/>
        <v>44</v>
      </c>
      <c r="B52" t="s">
        <v>73</v>
      </c>
      <c r="C52" s="26" t="s">
        <v>118</v>
      </c>
      <c r="D52" s="23" t="s">
        <v>39</v>
      </c>
      <c r="E52" s="2">
        <v>46143</v>
      </c>
      <c r="F52" s="31">
        <v>46173</v>
      </c>
      <c r="G52" s="2"/>
      <c r="H52" s="38" t="s">
        <v>57</v>
      </c>
      <c r="I52" s="12">
        <f t="shared" ref="I52:I53" si="2">SUM(J52:N52)</f>
        <v>0</v>
      </c>
      <c r="J52" s="27"/>
      <c r="K52" s="27"/>
      <c r="L52" s="28"/>
      <c r="M52" s="27"/>
    </row>
    <row r="53" spans="1:14" x14ac:dyDescent="0.25">
      <c r="A53">
        <f t="shared" si="1"/>
        <v>45</v>
      </c>
      <c r="B53" s="40" t="s">
        <v>117</v>
      </c>
      <c r="C53" s="26" t="s">
        <v>110</v>
      </c>
      <c r="D53" s="23" t="s">
        <v>39</v>
      </c>
      <c r="E53" s="2">
        <v>46143</v>
      </c>
      <c r="F53" s="31">
        <v>46173</v>
      </c>
      <c r="G53" s="2"/>
      <c r="H53" s="38" t="s">
        <v>57</v>
      </c>
      <c r="I53" s="12">
        <f t="shared" si="2"/>
        <v>20</v>
      </c>
      <c r="J53" s="27">
        <v>10</v>
      </c>
      <c r="K53" s="27">
        <v>10</v>
      </c>
      <c r="L53" s="28"/>
      <c r="M53" s="27"/>
    </row>
    <row r="54" spans="1:14" ht="15.75" thickBot="1" x14ac:dyDescent="0.3">
      <c r="A54" s="11" t="s">
        <v>19</v>
      </c>
      <c r="B54" s="8"/>
      <c r="C54" s="8"/>
      <c r="D54" s="8"/>
      <c r="E54" s="8"/>
      <c r="F54" s="8"/>
      <c r="G54" s="8"/>
      <c r="H54" s="39"/>
      <c r="I54" s="13">
        <f t="shared" ref="I54:N54" si="3">SUM(I8:I53)</f>
        <v>77.5</v>
      </c>
      <c r="J54" s="13">
        <f t="shared" si="3"/>
        <v>38.75</v>
      </c>
      <c r="K54" s="13">
        <f t="shared" si="3"/>
        <v>38.75</v>
      </c>
      <c r="L54" s="32">
        <f t="shared" si="3"/>
        <v>0</v>
      </c>
      <c r="M54" s="13">
        <f t="shared" si="3"/>
        <v>0</v>
      </c>
      <c r="N54" s="13">
        <f t="shared" si="3"/>
        <v>0</v>
      </c>
    </row>
    <row r="55" spans="1:14" ht="15.75" thickTop="1" x14ac:dyDescent="0.25">
      <c r="I55" s="12"/>
      <c r="J55" s="12"/>
      <c r="K55" s="12"/>
      <c r="L55" s="33"/>
      <c r="M55" s="12"/>
      <c r="N55" s="12"/>
    </row>
    <row r="56" spans="1:14" x14ac:dyDescent="0.25">
      <c r="A56" s="1" t="s">
        <v>20</v>
      </c>
      <c r="I56" s="12"/>
      <c r="J56" s="12"/>
      <c r="K56" s="12"/>
      <c r="L56" s="33"/>
      <c r="M56" s="12"/>
      <c r="N56" s="12"/>
    </row>
    <row r="57" spans="1:14" x14ac:dyDescent="0.25">
      <c r="B57" t="s">
        <v>21</v>
      </c>
      <c r="D57" t="s">
        <v>111</v>
      </c>
      <c r="I57" s="12">
        <f>SUM(J57:N57)</f>
        <v>1.5</v>
      </c>
      <c r="J57" s="12">
        <f>0.15*5</f>
        <v>0.75</v>
      </c>
      <c r="K57" s="12">
        <f>0.15*5</f>
        <v>0.75</v>
      </c>
      <c r="L57" s="33"/>
      <c r="M57" s="12"/>
      <c r="N57" s="12"/>
    </row>
    <row r="58" spans="1:14" x14ac:dyDescent="0.25">
      <c r="B58" t="s">
        <v>22</v>
      </c>
      <c r="D58" t="s">
        <v>113</v>
      </c>
      <c r="I58" s="12">
        <f>SUM(J58:N58)</f>
        <v>1</v>
      </c>
      <c r="J58" s="12">
        <f>0.1*5</f>
        <v>0.5</v>
      </c>
      <c r="K58" s="12">
        <f>0.1*5</f>
        <v>0.5</v>
      </c>
      <c r="L58" s="33"/>
      <c r="M58" s="12"/>
      <c r="N58" s="12"/>
    </row>
    <row r="59" spans="1:14" x14ac:dyDescent="0.25">
      <c r="B59" t="s">
        <v>112</v>
      </c>
      <c r="I59" s="12">
        <f>SUM(J59:N59)</f>
        <v>0</v>
      </c>
      <c r="J59" s="12"/>
      <c r="K59" s="12"/>
      <c r="L59" s="33"/>
      <c r="M59" s="12"/>
      <c r="N59" s="12"/>
    </row>
    <row r="60" spans="1:14" x14ac:dyDescent="0.25">
      <c r="B60" t="s">
        <v>119</v>
      </c>
      <c r="I60" s="12">
        <f>SUM(J60:N60)</f>
        <v>0</v>
      </c>
      <c r="J60" s="12"/>
      <c r="K60" s="12"/>
      <c r="L60" s="33"/>
      <c r="M60" s="12"/>
      <c r="N60" s="12"/>
    </row>
    <row r="61" spans="1:14" x14ac:dyDescent="0.25">
      <c r="B61" t="s">
        <v>23</v>
      </c>
      <c r="I61" s="12">
        <f>SUM(J61:N61)</f>
        <v>0</v>
      </c>
      <c r="J61" s="12"/>
      <c r="K61" s="12"/>
      <c r="L61" s="33"/>
      <c r="M61" s="12"/>
      <c r="N61" s="12"/>
    </row>
    <row r="63" spans="1:14" ht="15.75" thickBot="1" x14ac:dyDescent="0.3">
      <c r="A63" s="11" t="s">
        <v>24</v>
      </c>
      <c r="B63" s="8"/>
      <c r="C63" s="8"/>
      <c r="D63" s="8"/>
      <c r="E63" s="8"/>
      <c r="F63" s="8"/>
      <c r="G63" s="8"/>
      <c r="H63" s="39"/>
      <c r="I63" s="13">
        <f t="shared" ref="I63:N63" si="4">SUM(I57:I62)</f>
        <v>2.5</v>
      </c>
      <c r="J63" s="13">
        <f t="shared" si="4"/>
        <v>1.25</v>
      </c>
      <c r="K63" s="13">
        <f t="shared" si="4"/>
        <v>1.25</v>
      </c>
      <c r="L63" s="32">
        <f t="shared" si="4"/>
        <v>0</v>
      </c>
      <c r="M63" s="13">
        <f t="shared" si="4"/>
        <v>0</v>
      </c>
      <c r="N63" s="13">
        <f t="shared" si="4"/>
        <v>0</v>
      </c>
    </row>
    <row r="64" spans="1:14" ht="15.75" thickTop="1" x14ac:dyDescent="0.25">
      <c r="I64" s="12"/>
      <c r="J64" s="12"/>
      <c r="K64" s="12"/>
      <c r="L64" s="33"/>
      <c r="M64" s="12"/>
      <c r="N64" s="12"/>
    </row>
    <row r="65" spans="1:14" ht="15.75" thickBot="1" x14ac:dyDescent="0.3">
      <c r="A65" s="11" t="s">
        <v>25</v>
      </c>
      <c r="B65" s="8"/>
      <c r="C65" s="8"/>
      <c r="D65" s="8"/>
      <c r="E65" s="8"/>
      <c r="F65" s="8"/>
      <c r="G65" s="8"/>
      <c r="H65" s="39"/>
      <c r="I65" s="13">
        <f t="shared" ref="I65:N65" si="5">+I63+I54</f>
        <v>80</v>
      </c>
      <c r="J65" s="13">
        <f>+J63+J54</f>
        <v>40</v>
      </c>
      <c r="K65" s="13">
        <f t="shared" si="5"/>
        <v>40</v>
      </c>
      <c r="L65" s="32">
        <f t="shared" si="5"/>
        <v>0</v>
      </c>
      <c r="M65" s="13">
        <f t="shared" si="5"/>
        <v>0</v>
      </c>
      <c r="N65" s="13">
        <f t="shared" si="5"/>
        <v>0</v>
      </c>
    </row>
    <row r="66" spans="1:14" ht="15.75" thickTop="1" x14ac:dyDescent="0.25"/>
    <row r="68" spans="1:14" ht="15.75" thickBot="1" x14ac:dyDescent="0.3">
      <c r="A68" s="11" t="s">
        <v>26</v>
      </c>
      <c r="B68" s="8"/>
      <c r="C68" s="8"/>
      <c r="D68" s="8"/>
      <c r="E68" s="8"/>
      <c r="F68" s="8"/>
      <c r="G68" s="8"/>
      <c r="H68" s="39"/>
      <c r="I68" s="13"/>
      <c r="J68" s="13">
        <v>40</v>
      </c>
      <c r="K68" s="13">
        <v>40</v>
      </c>
      <c r="L68" s="32">
        <v>40</v>
      </c>
      <c r="M68" s="13">
        <v>40</v>
      </c>
      <c r="N68" s="13">
        <v>40</v>
      </c>
    </row>
    <row r="69" spans="1:14" ht="16.5" thickTop="1" thickBot="1" x14ac:dyDescent="0.3">
      <c r="A69" s="11" t="s">
        <v>27</v>
      </c>
      <c r="B69" s="8"/>
      <c r="C69" s="8"/>
      <c r="D69" s="8"/>
      <c r="E69" s="8"/>
      <c r="F69" s="8"/>
      <c r="G69" s="8"/>
      <c r="H69" s="39"/>
      <c r="I69" s="13"/>
      <c r="J69" s="13">
        <f>+J68-J65</f>
        <v>0</v>
      </c>
      <c r="K69" s="13">
        <f>+K68-K65</f>
        <v>0</v>
      </c>
      <c r="L69" s="32">
        <f>+L68-L65</f>
        <v>40</v>
      </c>
      <c r="M69" s="13">
        <f>+M68-M65</f>
        <v>40</v>
      </c>
      <c r="N69" s="13">
        <f>+N68-N65</f>
        <v>40</v>
      </c>
    </row>
    <row r="70" spans="1:14" ht="15.75" thickTop="1" x14ac:dyDescent="0.25"/>
  </sheetData>
  <protectedRanges>
    <protectedRange sqref="A57:XFD62 N9:XFD53 A8:XFD8 G9:I53" name="Range1"/>
    <protectedRange sqref="D9:D53" name="Range1_2"/>
    <protectedRange sqref="A9:A53" name="Range1_4"/>
    <protectedRange sqref="B9:B53 C53" name="Range1_1_1"/>
    <protectedRange sqref="C9:C52" name="Range1_5"/>
    <protectedRange sqref="F9:F53" name="Range1_3_2"/>
    <protectedRange sqref="K9:L11 K12:K17 L15 L17 L26 L28 L30:L33 M9:M39 K38:L39 K19:K37 L20:L24 J9:J17 J19:J39" name="Range1_6"/>
    <protectedRange sqref="L42:L49 K41:K51 K40:M40 K52:L52 M41:M52 J40:J53 K53:M53" name="Range1_1"/>
  </protectedRanges>
  <autoFilter ref="A7:N54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H9:H53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B12" sqref="B12"/>
    </sheetView>
  </sheetViews>
  <sheetFormatPr defaultRowHeight="15" x14ac:dyDescent="0.25"/>
  <cols>
    <col min="2" max="2" width="41.140625" customWidth="1"/>
    <col min="3" max="3" width="105" bestFit="1" customWidth="1"/>
  </cols>
  <sheetData>
    <row r="2" spans="2:3" ht="16.5" x14ac:dyDescent="0.25">
      <c r="B2" s="21" t="s">
        <v>37</v>
      </c>
      <c r="C2" s="21" t="s">
        <v>42</v>
      </c>
    </row>
    <row r="3" spans="2:3" x14ac:dyDescent="0.25">
      <c r="B3" s="18" t="s">
        <v>38</v>
      </c>
      <c r="C3" s="19" t="s">
        <v>43</v>
      </c>
    </row>
    <row r="4" spans="2:3" x14ac:dyDescent="0.25">
      <c r="B4" s="18" t="s">
        <v>44</v>
      </c>
      <c r="C4" s="19" t="s">
        <v>45</v>
      </c>
    </row>
    <row r="5" spans="2:3" x14ac:dyDescent="0.25">
      <c r="B5" s="18" t="s">
        <v>46</v>
      </c>
      <c r="C5" s="19" t="s">
        <v>47</v>
      </c>
    </row>
    <row r="6" spans="2:3" x14ac:dyDescent="0.25">
      <c r="B6" s="18" t="s">
        <v>39</v>
      </c>
      <c r="C6" s="19" t="s">
        <v>48</v>
      </c>
    </row>
    <row r="7" spans="2:3" x14ac:dyDescent="0.25">
      <c r="B7" s="18" t="s">
        <v>49</v>
      </c>
      <c r="C7" s="19" t="s">
        <v>50</v>
      </c>
    </row>
    <row r="8" spans="2:3" x14ac:dyDescent="0.25">
      <c r="B8" s="18" t="s">
        <v>40</v>
      </c>
      <c r="C8" s="19" t="s">
        <v>51</v>
      </c>
    </row>
    <row r="9" spans="2:3" x14ac:dyDescent="0.25">
      <c r="B9" s="18" t="s">
        <v>41</v>
      </c>
      <c r="C9" s="19" t="s">
        <v>52</v>
      </c>
    </row>
    <row r="10" spans="2:3" x14ac:dyDescent="0.25">
      <c r="B10" s="18" t="s">
        <v>70</v>
      </c>
      <c r="C10" s="19" t="s">
        <v>71</v>
      </c>
    </row>
    <row r="11" spans="2:3" x14ac:dyDescent="0.25">
      <c r="B11" s="18" t="s">
        <v>53</v>
      </c>
      <c r="C11" s="19" t="s">
        <v>54</v>
      </c>
    </row>
    <row r="15" spans="2:3" ht="16.5" x14ac:dyDescent="0.25">
      <c r="B15" s="21" t="s">
        <v>55</v>
      </c>
      <c r="C15" s="21" t="s">
        <v>42</v>
      </c>
    </row>
    <row r="16" spans="2:3" x14ac:dyDescent="0.25">
      <c r="B16" s="20" t="s">
        <v>28</v>
      </c>
      <c r="C16" s="19" t="s">
        <v>56</v>
      </c>
    </row>
    <row r="17" spans="2:3" x14ac:dyDescent="0.25">
      <c r="B17" s="20" t="s">
        <v>57</v>
      </c>
      <c r="C17" s="19" t="s">
        <v>58</v>
      </c>
    </row>
    <row r="18" spans="2:3" x14ac:dyDescent="0.25">
      <c r="B18" s="20" t="s">
        <v>36</v>
      </c>
      <c r="C18" s="19" t="s">
        <v>59</v>
      </c>
    </row>
    <row r="19" spans="2:3" x14ac:dyDescent="0.25">
      <c r="B19" s="20" t="s">
        <v>18</v>
      </c>
      <c r="C19" s="19" t="s">
        <v>60</v>
      </c>
    </row>
    <row r="20" spans="2:3" x14ac:dyDescent="0.25">
      <c r="B20" s="20" t="s">
        <v>29</v>
      </c>
      <c r="C20" s="19" t="s">
        <v>61</v>
      </c>
    </row>
    <row r="21" spans="2:3" x14ac:dyDescent="0.25">
      <c r="B21" s="20" t="s">
        <v>30</v>
      </c>
      <c r="C21" s="19" t="s">
        <v>62</v>
      </c>
    </row>
    <row r="22" spans="2:3" x14ac:dyDescent="0.25">
      <c r="B22" s="20" t="s">
        <v>63</v>
      </c>
      <c r="C22" s="19" t="s">
        <v>64</v>
      </c>
    </row>
    <row r="23" spans="2:3" x14ac:dyDescent="0.25">
      <c r="B23" s="20" t="s">
        <v>35</v>
      </c>
      <c r="C23" s="19" t="s">
        <v>65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31</v>
      </c>
    </row>
    <row r="2" spans="1:1" s="15" customFormat="1" ht="15.75" x14ac:dyDescent="0.25">
      <c r="A2" s="16"/>
    </row>
    <row r="3" spans="1:1" s="15" customFormat="1" ht="15.75" x14ac:dyDescent="0.25">
      <c r="A3" s="14" t="s">
        <v>68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32</v>
      </c>
    </row>
    <row r="8" spans="1:1" ht="15.75" x14ac:dyDescent="0.25">
      <c r="A8" s="14" t="s">
        <v>69</v>
      </c>
    </row>
    <row r="9" spans="1:1" ht="15.75" x14ac:dyDescent="0.25">
      <c r="A9" s="14" t="s">
        <v>67</v>
      </c>
    </row>
    <row r="10" spans="1:1" ht="15.75" x14ac:dyDescent="0.25">
      <c r="A10" s="14" t="s">
        <v>33</v>
      </c>
    </row>
    <row r="11" spans="1:1" ht="15.75" x14ac:dyDescent="0.25">
      <c r="A11" s="14" t="s">
        <v>34</v>
      </c>
    </row>
    <row r="12" spans="1:1" ht="15.75" x14ac:dyDescent="0.25">
      <c r="A12" s="14" t="s">
        <v>66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2026-05-04T07:22:42Z</dcterms:modified>
  <cp:category/>
  <cp:contentStatus/>
</cp:coreProperties>
</file>