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Sandeep Chavda\"/>
    </mc:Choice>
  </mc:AlternateContent>
  <xr:revisionPtr revIDLastSave="0" documentId="13_ncr:1_{CF63626A-59B1-41BB-A9F3-87A465B918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27" i="1"/>
  <c r="I11" i="1"/>
  <c r="N29" i="1"/>
  <c r="I18" i="1"/>
  <c r="I17" i="1"/>
  <c r="I12" i="1"/>
  <c r="I13" i="1"/>
  <c r="I14" i="1"/>
  <c r="I15" i="1"/>
  <c r="I16" i="1"/>
  <c r="I19" i="1"/>
  <c r="I26" i="1"/>
  <c r="I25" i="1"/>
  <c r="I24" i="1"/>
  <c r="I23" i="1"/>
  <c r="I29" i="1" l="1"/>
  <c r="I20" i="1"/>
  <c r="J20" i="1"/>
  <c r="J29" i="1"/>
  <c r="J31" i="1" s="1"/>
  <c r="N20" i="1" l="1"/>
  <c r="N31" i="1" s="1"/>
  <c r="M20" i="1"/>
  <c r="L20" i="1"/>
  <c r="K20" i="1"/>
  <c r="M29" i="1"/>
  <c r="L29" i="1"/>
  <c r="K29" i="1"/>
  <c r="K6" i="1"/>
  <c r="L6" i="1" s="1"/>
  <c r="M6" i="1" s="1"/>
  <c r="N6" i="1" s="1"/>
  <c r="K31" i="1" l="1"/>
  <c r="M31" i="1"/>
  <c r="M35" i="1" s="1"/>
  <c r="J35" i="1"/>
  <c r="K35" i="1"/>
  <c r="N35" i="1"/>
  <c r="L31" i="1"/>
  <c r="L35" i="1" s="1"/>
  <c r="I31" i="1"/>
</calcChain>
</file>

<file path=xl/sharedStrings.xml><?xml version="1.0" encoding="utf-8"?>
<sst xmlns="http://schemas.openxmlformats.org/spreadsheetml/2006/main" count="121" uniqueCount="87">
  <si>
    <t>Work in Progress Report</t>
  </si>
  <si>
    <t xml:space="preserve">Name: </t>
  </si>
  <si>
    <t>Raj Sureja</t>
  </si>
  <si>
    <t>Title:</t>
  </si>
  <si>
    <t>Senior</t>
  </si>
  <si>
    <t>Manager Name:</t>
  </si>
  <si>
    <t>Sandeepkumar Chavda</t>
  </si>
  <si>
    <t>Week starting on --&gt;&gt;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</si>
  <si>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</si>
  <si>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</si>
  <si>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</si>
  <si>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</si>
  <si>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</si>
  <si>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</si>
  <si>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</si>
  <si>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</si>
  <si>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</si>
  <si>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</si>
  <si>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</si>
  <si>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</si>
  <si>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</si>
  <si>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Week 5</t>
  </si>
  <si>
    <t>Billable Hours</t>
  </si>
  <si>
    <t>CAVU Human Capital Management</t>
  </si>
  <si>
    <t>Morton Community Bank #3356</t>
  </si>
  <si>
    <t>Accounts Payable / Receivable Management</t>
  </si>
  <si>
    <t>Completed</t>
  </si>
  <si>
    <t>Morton Community Bank # 2752</t>
  </si>
  <si>
    <t>Bookkeeping Management</t>
  </si>
  <si>
    <t>Wells Fargo Cheking #2927</t>
  </si>
  <si>
    <t>Adhoc - Review - Shaik's and kasthuri's Work</t>
  </si>
  <si>
    <t>Month-End / Quarter-End Close Management</t>
  </si>
  <si>
    <t>Adhoc</t>
  </si>
  <si>
    <t>Payroll Management</t>
  </si>
  <si>
    <t>Adhoc - Training</t>
  </si>
  <si>
    <t>Client Meetings and Communication</t>
  </si>
  <si>
    <t>Adhoc - Client Call</t>
  </si>
  <si>
    <t>Total of Billable hours</t>
  </si>
  <si>
    <t>Non Billable hours</t>
  </si>
  <si>
    <t>Admin</t>
  </si>
  <si>
    <t>Updating time entry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</si>
  <si>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</si>
  <si>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</si>
  <si>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</si>
  <si>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</si>
  <si>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</si>
  <si>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</si>
  <si>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</si>
  <si>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</si>
  <si>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</si>
  <si>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</si>
  <si>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</si>
  <si>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</si>
  <si>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</si>
  <si>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</si>
  <si>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</si>
  <si>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Month-end/Quarter-end book review, financial statement preparation, and reporting.</t>
  </si>
  <si>
    <t>Payroll processing, working, posting, and reconciliation.</t>
  </si>
  <si>
    <t>Sales Tax Management</t>
  </si>
  <si>
    <t>Sales tax calculation and filing.</t>
  </si>
  <si>
    <t>Client call</t>
  </si>
  <si>
    <t>Year-End / 13th Month Process Management</t>
  </si>
  <si>
    <t>Year-end finalization work, financial statement printing, and tax-to-book adjustments.</t>
  </si>
  <si>
    <t>Account Status</t>
  </si>
  <si>
    <t>Not Started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</si>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</sst>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0" fillId="5" borderId="0" xfId="1" applyFont="1" applyFill="1"/>
    <xf numFmtId="43" fontId="1" fillId="5" borderId="1" xfId="1" applyFont="1" applyFill="1" applyBorder="1"/>
    <xf numFmtId="14" fontId="8" fillId="0" borderId="0" xfId="0" applyNumberFormat="1" applyFont="1"/>
    <xf numFmtId="43" fontId="8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zoomScale="85" zoomScaleNormal="85" workbookViewId="0">
      <pane xSplit="2" ySplit="7" topLeftCell="D25" activePane="bottomRight" state="frozen"/>
      <selection pane="topRight" activeCell="C1" sqref="C1"/>
      <selection pane="bottomLeft" activeCell="A7" sqref="A7"/>
      <selection pane="bottomRight" activeCell="H37" sqref="H37"/>
    </sheetView>
  </sheetViews>
  <sheetFormatPr defaultRowHeight="15" x14ac:dyDescent="0.25"/>
  <cols>
    <col min="1" max="1" width="18.5703125" customWidth="1"/>
    <col min="2" max="2" width="32.28515625" bestFit="1" customWidth="1"/>
    <col min="3" max="3" width="30.28515625" bestFit="1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  <col min="14" max="14" width="10.85546875" bestFit="1" customWidth="1"/>
  </cols>
  <sheetData>
    <row r="1" spans="1:14" x14ac:dyDescent="0.25">
      <c r="A1" s="1" t="s">
        <v>0</v>
      </c>
      <c r="H1" s="11"/>
    </row>
    <row r="2" spans="1:14" x14ac:dyDescent="0.25">
      <c r="A2" s="1" t="s">
        <v>1</v>
      </c>
      <c r="B2" s="9" t="s">
        <v>2</v>
      </c>
      <c r="C2" s="9"/>
      <c r="H2" s="1"/>
      <c r="I2" s="1"/>
      <c r="J2" s="10"/>
      <c r="K2" s="10"/>
      <c r="L2" s="10"/>
      <c r="M2" s="10"/>
    </row>
    <row r="3" spans="1:14" x14ac:dyDescent="0.25">
      <c r="A3" s="1" t="s">
        <v>3</v>
      </c>
      <c r="B3" s="9" t="s">
        <v>4</v>
      </c>
      <c r="C3" s="9"/>
      <c r="H3" s="1"/>
      <c r="I3" s="1"/>
      <c r="J3" s="10"/>
      <c r="K3" s="10"/>
      <c r="L3" s="10"/>
      <c r="M3" s="10"/>
    </row>
    <row r="4" spans="1:14" x14ac:dyDescent="0.25">
      <c r="A4" s="1" t="s">
        <v>5</v>
      </c>
      <c r="B4" s="9" t="s">
        <v>6</v>
      </c>
      <c r="C4" s="9"/>
      <c r="H4" s="1"/>
      <c r="I4" s="1"/>
      <c r="J4" s="10"/>
      <c r="K4" s="10"/>
      <c r="L4" s="10"/>
      <c r="M4" s="10"/>
    </row>
    <row r="5" spans="1:14" x14ac:dyDescent="0.25">
      <c r="A5" s="1"/>
      <c r="B5" s="9"/>
      <c r="C5" s="9"/>
    </row>
    <row r="6" spans="1:14" x14ac:dyDescent="0.25">
      <c r="I6" s="7" t="s">
        <v>7</v>
      </c>
      <c r="J6" s="26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>
        <f>M6+7</f>
        <v>46174</v>
      </c>
    </row>
    <row r="7" spans="1:14" s="1" customFormat="1" ht="30" x14ac:dyDescent="0.25">
      <c r="A7" s="3" t="s">
        <v>8</v>
      </c>
      <c r="B7" s="3" t="s">
        <v>9</v>
      </c>
      <c r="C7" s="3" t="s">
        <v>10</v>
      </c>
      <c r="D7" s="23" t="s">
        <v>11</v>
      </c>
      <c r="E7" s="3" t="s">
        <v>12</v>
      </c>
      <c r="F7" s="3" t="s">
        <v>13</v>
      </c>
      <c r="G7" s="3" t="s">
        <v>14</v>
      </c>
      <c r="H7" s="23" t="s">
        <v>15</v>
      </c>
      <c r="I7" s="23" t="s">
        <v>16</v>
      </c>
      <c r="J7" s="3" t="s">
        <v>17</v>
      </c>
      <c r="K7" s="3" t="s">
        <v>18</v>
      </c>
      <c r="L7" s="3" t="s">
        <v>19</v>
      </c>
      <c r="M7" s="3" t="s">
        <v>20</v>
      </c>
      <c r="N7" s="3" t="s">
        <v>21</v>
      </c>
    </row>
    <row r="8" spans="1:14" x14ac:dyDescent="0.25">
      <c r="A8" s="6" t="s">
        <v>22</v>
      </c>
      <c r="B8" s="4"/>
      <c r="C8" s="4"/>
      <c r="D8" s="23"/>
      <c r="E8" s="4"/>
      <c r="F8" s="4"/>
      <c r="G8" s="4"/>
      <c r="H8" s="23"/>
      <c r="I8" s="23"/>
      <c r="J8" s="4"/>
      <c r="K8" s="4"/>
      <c r="L8" s="4"/>
      <c r="M8" s="4"/>
      <c r="N8" s="5"/>
    </row>
    <row r="9" spans="1:14" x14ac:dyDescent="0.25">
      <c r="A9">
        <v>1</v>
      </c>
      <c r="B9" t="s">
        <v>23</v>
      </c>
      <c r="C9" t="s">
        <v>24</v>
      </c>
      <c r="D9" s="24" t="s">
        <v>25</v>
      </c>
      <c r="E9" s="29">
        <v>46132</v>
      </c>
      <c r="F9" s="29">
        <v>46125</v>
      </c>
      <c r="G9" s="29"/>
      <c r="H9" s="24" t="s">
        <v>26</v>
      </c>
      <c r="I9" s="27">
        <f t="shared" ref="I9:I11" si="0">SUM(J9:N9)</f>
        <v>0</v>
      </c>
      <c r="J9" s="30"/>
      <c r="K9" s="30"/>
      <c r="L9" s="30"/>
      <c r="M9" s="30"/>
      <c r="N9" s="30"/>
    </row>
    <row r="10" spans="1:14" x14ac:dyDescent="0.25">
      <c r="A10">
        <v>2</v>
      </c>
      <c r="B10" t="s">
        <v>23</v>
      </c>
      <c r="C10" t="s">
        <v>24</v>
      </c>
      <c r="D10" s="24" t="s">
        <v>25</v>
      </c>
      <c r="E10" s="29">
        <v>46132</v>
      </c>
      <c r="F10" s="29">
        <v>46139</v>
      </c>
      <c r="G10" s="29"/>
      <c r="H10" s="24" t="s">
        <v>26</v>
      </c>
      <c r="I10" s="27">
        <f t="shared" si="0"/>
        <v>0</v>
      </c>
      <c r="J10" s="30"/>
      <c r="K10" s="30"/>
      <c r="L10" s="30"/>
      <c r="M10" s="30"/>
      <c r="N10" s="30"/>
    </row>
    <row r="11" spans="1:14" x14ac:dyDescent="0.25">
      <c r="A11">
        <v>3</v>
      </c>
      <c r="B11" t="s">
        <v>23</v>
      </c>
      <c r="C11" t="s">
        <v>27</v>
      </c>
      <c r="D11" s="24" t="s">
        <v>28</v>
      </c>
      <c r="E11" s="29">
        <v>46132</v>
      </c>
      <c r="F11" s="29">
        <v>46142</v>
      </c>
      <c r="G11" s="2"/>
      <c r="H11" s="24" t="s">
        <v>26</v>
      </c>
      <c r="I11" s="27">
        <f t="shared" si="0"/>
        <v>0</v>
      </c>
      <c r="J11" s="30"/>
      <c r="K11" s="30"/>
      <c r="L11" s="30"/>
      <c r="M11" s="30"/>
      <c r="N11" s="30"/>
    </row>
    <row r="12" spans="1:14" x14ac:dyDescent="0.25">
      <c r="A12">
        <v>4</v>
      </c>
      <c r="B12" t="s">
        <v>23</v>
      </c>
      <c r="C12" t="s">
        <v>29</v>
      </c>
      <c r="D12" s="24" t="s">
        <v>28</v>
      </c>
      <c r="E12" s="29">
        <v>46132</v>
      </c>
      <c r="F12" s="29">
        <v>46142</v>
      </c>
      <c r="G12" s="29"/>
      <c r="H12" s="24" t="s">
        <v>26</v>
      </c>
      <c r="I12" s="27">
        <f t="shared" ref="I12:I19" si="1">SUM(J12:N12)</f>
        <v>0</v>
      </c>
      <c r="J12" s="30"/>
      <c r="K12" s="30"/>
      <c r="L12" s="30"/>
      <c r="M12" s="30"/>
      <c r="N12" s="30"/>
    </row>
    <row r="13" spans="1:14" x14ac:dyDescent="0.25">
      <c r="A13">
        <v>5</v>
      </c>
      <c r="B13" t="s">
        <v>23</v>
      </c>
      <c r="C13" t="s">
        <v>30</v>
      </c>
      <c r="D13" s="24" t="s">
        <v>28</v>
      </c>
      <c r="E13" s="29">
        <v>46132</v>
      </c>
      <c r="F13" s="29">
        <v>46142</v>
      </c>
      <c r="G13" s="2"/>
      <c r="H13" s="24" t="s">
        <v>26</v>
      </c>
      <c r="I13" s="27">
        <f>SUM(J13:N13)</f>
        <v>0</v>
      </c>
      <c r="J13" s="30"/>
      <c r="K13" s="30"/>
      <c r="L13" s="30"/>
      <c r="M13" s="30"/>
      <c r="N13" s="30"/>
    </row>
    <row r="14" spans="1:14" x14ac:dyDescent="0.25">
      <c r="A14">
        <v>6</v>
      </c>
      <c r="B14" t="s">
        <v>23</v>
      </c>
      <c r="C14" s="16" t="s">
        <v>27</v>
      </c>
      <c r="D14" s="24" t="s">
        <v>31</v>
      </c>
      <c r="E14" s="29">
        <v>46132</v>
      </c>
      <c r="F14" s="29">
        <v>46142</v>
      </c>
      <c r="G14" s="2"/>
      <c r="H14" s="24" t="s">
        <v>26</v>
      </c>
      <c r="I14" s="27">
        <f t="shared" si="1"/>
        <v>0</v>
      </c>
      <c r="J14" s="30"/>
      <c r="K14" s="30"/>
      <c r="L14" s="30"/>
      <c r="M14" s="30"/>
      <c r="N14" s="30"/>
    </row>
    <row r="15" spans="1:14" x14ac:dyDescent="0.25">
      <c r="A15">
        <v>7</v>
      </c>
      <c r="B15" t="s">
        <v>23</v>
      </c>
      <c r="C15" t="s">
        <v>29</v>
      </c>
      <c r="D15" s="24" t="s">
        <v>31</v>
      </c>
      <c r="E15" s="29">
        <v>46132</v>
      </c>
      <c r="F15" s="29">
        <v>46142</v>
      </c>
      <c r="G15" s="2"/>
      <c r="H15" s="24" t="s">
        <v>26</v>
      </c>
      <c r="I15" s="27">
        <f t="shared" si="1"/>
        <v>0</v>
      </c>
      <c r="J15" s="30"/>
      <c r="K15" s="30"/>
      <c r="L15" s="30"/>
      <c r="M15" s="30"/>
      <c r="N15" s="30"/>
    </row>
    <row r="16" spans="1:14" x14ac:dyDescent="0.25">
      <c r="A16">
        <v>8</v>
      </c>
      <c r="B16" t="s">
        <v>23</v>
      </c>
      <c r="C16" t="s">
        <v>32</v>
      </c>
      <c r="D16" s="24" t="s">
        <v>33</v>
      </c>
      <c r="E16" s="29">
        <v>46132</v>
      </c>
      <c r="F16" s="29">
        <v>46142</v>
      </c>
      <c r="G16" s="29"/>
      <c r="H16" s="24" t="s">
        <v>26</v>
      </c>
      <c r="I16" s="27">
        <f t="shared" si="1"/>
        <v>0</v>
      </c>
      <c r="J16" s="30"/>
      <c r="K16" s="30"/>
      <c r="L16" s="30"/>
      <c r="M16" s="30"/>
      <c r="N16" s="30"/>
    </row>
    <row r="17" spans="1:14" x14ac:dyDescent="0.25">
      <c r="A17">
        <v>9</v>
      </c>
      <c r="B17" t="s">
        <v>23</v>
      </c>
      <c r="C17" t="s">
        <v>34</v>
      </c>
      <c r="D17" s="24" t="s">
        <v>35</v>
      </c>
      <c r="E17" s="29">
        <v>46132</v>
      </c>
      <c r="F17" s="29">
        <v>46142</v>
      </c>
      <c r="G17" s="2"/>
      <c r="H17" s="24" t="s">
        <v>26</v>
      </c>
      <c r="I17" s="27">
        <f>SUM(J17:N17)</f>
        <v>0</v>
      </c>
      <c r="J17" s="30"/>
      <c r="K17" s="30"/>
      <c r="L17" s="30"/>
      <c r="M17" s="30"/>
      <c r="N17" s="30"/>
    </row>
    <row r="18" spans="1:14" x14ac:dyDescent="0.25">
      <c r="A18">
        <v>10</v>
      </c>
      <c r="B18" t="s">
        <v>23</v>
      </c>
      <c r="C18" t="s">
        <v>36</v>
      </c>
      <c r="D18" s="24" t="s">
        <v>35</v>
      </c>
      <c r="E18" s="29">
        <v>46132</v>
      </c>
      <c r="F18" s="29">
        <v>46142</v>
      </c>
      <c r="G18" s="2"/>
      <c r="H18" s="24" t="s">
        <v>26</v>
      </c>
      <c r="I18" s="27">
        <f>SUM(J18:N18)</f>
        <v>0</v>
      </c>
      <c r="J18" s="30"/>
      <c r="K18" s="30"/>
      <c r="L18" s="30"/>
      <c r="M18" s="30"/>
      <c r="N18" s="30"/>
    </row>
    <row r="19" spans="1:14" x14ac:dyDescent="0.25">
      <c r="D19" s="24"/>
      <c r="E19" s="2"/>
      <c r="F19" s="2"/>
      <c r="G19" s="2"/>
      <c r="H19" s="24"/>
      <c r="I19" s="27">
        <f t="shared" si="1"/>
        <v>0</v>
      </c>
    </row>
    <row r="20" spans="1:14" ht="15.75" thickBot="1" x14ac:dyDescent="0.3">
      <c r="A20" s="12" t="s">
        <v>37</v>
      </c>
      <c r="B20" s="8"/>
      <c r="C20" s="8"/>
      <c r="D20" s="8"/>
      <c r="E20" s="8"/>
      <c r="F20" s="8"/>
      <c r="G20" s="8"/>
      <c r="H20" s="8"/>
      <c r="I20" s="28">
        <f t="shared" ref="I20:N20" si="2">SUM(I8:I19)</f>
        <v>0</v>
      </c>
      <c r="J20" s="14">
        <f t="shared" si="2"/>
        <v>0</v>
      </c>
      <c r="K20" s="14">
        <f t="shared" si="2"/>
        <v>0</v>
      </c>
      <c r="L20" s="14">
        <f t="shared" si="2"/>
        <v>0</v>
      </c>
      <c r="M20" s="14">
        <f t="shared" si="2"/>
        <v>0</v>
      </c>
      <c r="N20" s="14">
        <f t="shared" si="2"/>
        <v>0</v>
      </c>
    </row>
    <row r="21" spans="1:14" ht="15.75" thickTop="1" x14ac:dyDescent="0.25">
      <c r="I21" s="27"/>
      <c r="J21" s="13"/>
      <c r="K21" s="13"/>
      <c r="L21" s="13"/>
      <c r="M21" s="13"/>
      <c r="N21" s="13"/>
    </row>
    <row r="22" spans="1:14" x14ac:dyDescent="0.25">
      <c r="A22" s="1" t="s">
        <v>38</v>
      </c>
      <c r="I22" s="27"/>
      <c r="J22" s="13"/>
      <c r="K22" s="13"/>
      <c r="L22" s="13"/>
      <c r="M22" s="13"/>
      <c r="N22" s="13"/>
    </row>
    <row r="23" spans="1:14" x14ac:dyDescent="0.25">
      <c r="B23" t="s">
        <v>39</v>
      </c>
      <c r="D23" t="s">
        <v>40</v>
      </c>
      <c r="I23" s="27">
        <f t="shared" ref="I23:I26" si="3">SUM(J23:N23)</f>
        <v>2</v>
      </c>
      <c r="J23" s="30">
        <v>1</v>
      </c>
      <c r="K23" s="30">
        <v>1</v>
      </c>
      <c r="L23" s="30"/>
      <c r="M23" s="13"/>
      <c r="N23" s="13"/>
    </row>
    <row r="24" spans="1:14" x14ac:dyDescent="0.25">
      <c r="B24" t="s">
        <v>41</v>
      </c>
      <c r="I24" s="27">
        <f t="shared" si="3"/>
        <v>0</v>
      </c>
      <c r="J24" s="13"/>
      <c r="K24" s="13"/>
      <c r="L24" s="13"/>
      <c r="M24" s="13"/>
      <c r="N24" s="13"/>
    </row>
    <row r="25" spans="1:14" x14ac:dyDescent="0.25">
      <c r="B25" t="s">
        <v>42</v>
      </c>
      <c r="I25" s="27">
        <f t="shared" si="3"/>
        <v>40</v>
      </c>
      <c r="J25" s="13">
        <v>20</v>
      </c>
      <c r="K25" s="13">
        <v>20</v>
      </c>
      <c r="L25" s="13"/>
      <c r="M25" s="13"/>
      <c r="N25" s="13"/>
    </row>
    <row r="26" spans="1:14" x14ac:dyDescent="0.25">
      <c r="B26" t="s">
        <v>43</v>
      </c>
      <c r="I26" s="27">
        <f t="shared" si="3"/>
        <v>0</v>
      </c>
      <c r="J26" s="13"/>
      <c r="K26" s="13"/>
      <c r="L26" s="13"/>
      <c r="M26" s="13"/>
      <c r="N26" s="13"/>
    </row>
    <row r="27" spans="1:14" x14ac:dyDescent="0.25">
      <c r="B27" t="s">
        <v>44</v>
      </c>
      <c r="I27" s="27">
        <f>SUM(J27:N27)</f>
        <v>38</v>
      </c>
      <c r="J27" s="13">
        <v>19</v>
      </c>
      <c r="K27" s="13">
        <v>19</v>
      </c>
      <c r="L27" s="13"/>
      <c r="M27" s="13"/>
      <c r="N27" s="13"/>
    </row>
    <row r="28" spans="1:14" x14ac:dyDescent="0.25">
      <c r="I28" s="24"/>
    </row>
    <row r="29" spans="1:14" ht="15.75" thickBot="1" x14ac:dyDescent="0.3">
      <c r="A29" s="12" t="s">
        <v>45</v>
      </c>
      <c r="B29" s="8"/>
      <c r="C29" s="8"/>
      <c r="D29" s="8"/>
      <c r="E29" s="8"/>
      <c r="F29" s="8"/>
      <c r="G29" s="8"/>
      <c r="H29" s="8"/>
      <c r="I29" s="28">
        <f>SUM(I23:I28)</f>
        <v>80</v>
      </c>
      <c r="J29" s="14">
        <f>SUM(J23:J28)</f>
        <v>40</v>
      </c>
      <c r="K29" s="14">
        <f t="shared" ref="K29:M29" si="4">SUM(K23:K28)</f>
        <v>40</v>
      </c>
      <c r="L29" s="14">
        <f t="shared" si="4"/>
        <v>0</v>
      </c>
      <c r="M29" s="14">
        <f t="shared" si="4"/>
        <v>0</v>
      </c>
      <c r="N29" s="14">
        <f>SUM(N23:N28)</f>
        <v>0</v>
      </c>
    </row>
    <row r="30" spans="1:14" x14ac:dyDescent="0.25">
      <c r="I30" s="27"/>
      <c r="J30" s="13"/>
      <c r="K30" s="13"/>
      <c r="L30" s="13"/>
      <c r="M30" s="13"/>
      <c r="N30" s="13"/>
    </row>
    <row r="31" spans="1:14" x14ac:dyDescent="0.25">
      <c r="A31" s="12" t="s">
        <v>46</v>
      </c>
      <c r="B31" s="8"/>
      <c r="C31" s="8"/>
      <c r="D31" s="8"/>
      <c r="E31" s="8"/>
      <c r="F31" s="8"/>
      <c r="G31" s="8"/>
      <c r="H31" s="8"/>
      <c r="I31" s="28">
        <f>+I29+I20</f>
        <v>80</v>
      </c>
      <c r="J31" s="14">
        <f>+J29+J20</f>
        <v>40</v>
      </c>
      <c r="K31" s="14">
        <f>+K29+K20</f>
        <v>40</v>
      </c>
      <c r="L31" s="14">
        <f t="shared" ref="L31:M31" si="5">+L29+L20</f>
        <v>0</v>
      </c>
      <c r="M31" s="14">
        <f t="shared" si="5"/>
        <v>0</v>
      </c>
      <c r="N31" s="14">
        <f>+N29+N20</f>
        <v>0</v>
      </c>
    </row>
    <row r="32" spans="1:14" x14ac:dyDescent="0.25">
      <c r="I32" s="24"/>
    </row>
    <row r="33" spans="1:14" x14ac:dyDescent="0.25">
      <c r="I33" s="24"/>
    </row>
    <row r="34" spans="1:14" ht="15.75" thickBot="1" x14ac:dyDescent="0.3">
      <c r="A34" s="12" t="s">
        <v>47</v>
      </c>
      <c r="B34" s="8"/>
      <c r="C34" s="8"/>
      <c r="D34" s="8"/>
      <c r="E34" s="8"/>
      <c r="F34" s="8"/>
      <c r="G34" s="8"/>
      <c r="H34" s="8"/>
      <c r="I34" s="28"/>
      <c r="J34" s="14">
        <v>40</v>
      </c>
      <c r="K34" s="14">
        <v>40</v>
      </c>
      <c r="L34" s="14">
        <v>40</v>
      </c>
      <c r="M34" s="14">
        <v>40</v>
      </c>
      <c r="N34" s="14">
        <v>40</v>
      </c>
    </row>
    <row r="35" spans="1:14" ht="16.5" thickTop="1" thickBot="1" x14ac:dyDescent="0.3">
      <c r="A35" s="12" t="s">
        <v>48</v>
      </c>
      <c r="B35" s="8"/>
      <c r="C35" s="8"/>
      <c r="D35" s="8"/>
      <c r="E35" s="8"/>
      <c r="F35" s="8"/>
      <c r="G35" s="8"/>
      <c r="H35" s="8"/>
      <c r="I35" s="28"/>
      <c r="J35" s="14">
        <f>+J34-J31</f>
        <v>0</v>
      </c>
      <c r="K35" s="14">
        <f t="shared" ref="K35:M35" si="6">+K34-K31</f>
        <v>0</v>
      </c>
      <c r="L35" s="14">
        <f t="shared" si="6"/>
        <v>40</v>
      </c>
      <c r="M35" s="14">
        <f t="shared" si="6"/>
        <v>40</v>
      </c>
      <c r="N35" s="14">
        <f>+N34-N31</f>
        <v>40</v>
      </c>
    </row>
    <row r="36" spans="1:14" ht="15.75" thickTop="1" x14ac:dyDescent="0.25"/>
  </sheetData>
  <protectedRanges>
    <protectedRange sqref="C19 A8:XFD8 A11:A19 E19:XFD19 H9:I10 G11:I15 J9:XFD18 A23:XFD28 H16:I16 G17:I18" name="Range1"/>
    <protectedRange sqref="B19" name="Range1_1"/>
    <protectedRange sqref="D9:D19" name="Range1_2"/>
    <protectedRange sqref="A9:A10" name="Range1_4"/>
    <protectedRange sqref="C9:C10 B9:B18" name="Range1_1_1"/>
    <protectedRange sqref="G16 G9:G10 E9:F18" name="Range1_3_1"/>
    <protectedRange sqref="C12" name="Range1_6"/>
    <protectedRange sqref="C17:C18 C13:C14" name="Range1_7"/>
    <protectedRange sqref="C15" name="Range1_10"/>
    <protectedRange sqref="C16" name="Range1_12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H9:H19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topLeftCell="A7" workbookViewId="0">
      <selection activeCell="C17" sqref="C1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11</v>
      </c>
      <c r="C2" s="22" t="s">
        <v>49</v>
      </c>
    </row>
    <row r="3" spans="2:3" x14ac:dyDescent="0.25">
      <c r="B3" s="19" t="s">
        <v>50</v>
      </c>
      <c r="C3" s="20" t="s">
        <v>51</v>
      </c>
    </row>
    <row r="4" spans="2:3" x14ac:dyDescent="0.25">
      <c r="B4" s="19" t="s">
        <v>25</v>
      </c>
      <c r="C4" s="20" t="s">
        <v>52</v>
      </c>
    </row>
    <row r="5" spans="2:3" x14ac:dyDescent="0.25">
      <c r="B5" s="19" t="s">
        <v>53</v>
      </c>
      <c r="C5" s="20" t="s">
        <v>54</v>
      </c>
    </row>
    <row r="6" spans="2:3" x14ac:dyDescent="0.25">
      <c r="B6" s="19" t="s">
        <v>28</v>
      </c>
      <c r="C6" s="20" t="s">
        <v>55</v>
      </c>
    </row>
    <row r="7" spans="2:3" x14ac:dyDescent="0.25">
      <c r="B7" s="19" t="s">
        <v>31</v>
      </c>
      <c r="C7" s="20" t="s">
        <v>56</v>
      </c>
    </row>
    <row r="8" spans="2:3" x14ac:dyDescent="0.25">
      <c r="B8" s="19" t="s">
        <v>33</v>
      </c>
      <c r="C8" s="20" t="s">
        <v>57</v>
      </c>
    </row>
    <row r="9" spans="2:3" x14ac:dyDescent="0.25">
      <c r="B9" s="19" t="s">
        <v>58</v>
      </c>
      <c r="C9" s="20" t="s">
        <v>59</v>
      </c>
    </row>
    <row r="10" spans="2:3" x14ac:dyDescent="0.25">
      <c r="B10" s="19" t="s">
        <v>35</v>
      </c>
      <c r="C10" s="20" t="s">
        <v>60</v>
      </c>
    </row>
    <row r="11" spans="2:3" x14ac:dyDescent="0.25">
      <c r="B11" s="19" t="s">
        <v>61</v>
      </c>
      <c r="C11" s="20" t="s">
        <v>62</v>
      </c>
    </row>
    <row r="15" spans="2:3" ht="16.5" x14ac:dyDescent="0.25">
      <c r="B15" s="22" t="s">
        <v>63</v>
      </c>
      <c r="C15" s="22" t="s">
        <v>49</v>
      </c>
    </row>
    <row r="16" spans="2:3" x14ac:dyDescent="0.25">
      <c r="B16" s="21" t="s">
        <v>64</v>
      </c>
      <c r="C16" s="20" t="s">
        <v>65</v>
      </c>
    </row>
    <row r="17" spans="2:3" x14ac:dyDescent="0.25">
      <c r="B17" s="21" t="s">
        <v>66</v>
      </c>
      <c r="C17" s="20" t="s">
        <v>67</v>
      </c>
    </row>
    <row r="18" spans="2:3" x14ac:dyDescent="0.25">
      <c r="B18" s="21" t="s">
        <v>68</v>
      </c>
      <c r="C18" s="20" t="s">
        <v>69</v>
      </c>
    </row>
    <row r="19" spans="2:3" x14ac:dyDescent="0.25">
      <c r="B19" s="21" t="s">
        <v>70</v>
      </c>
      <c r="C19" s="20" t="s">
        <v>71</v>
      </c>
    </row>
    <row r="20" spans="2:3" x14ac:dyDescent="0.25">
      <c r="B20" s="21" t="s">
        <v>72</v>
      </c>
      <c r="C20" s="20" t="s">
        <v>73</v>
      </c>
    </row>
    <row r="21" spans="2:3" x14ac:dyDescent="0.25">
      <c r="B21" s="21" t="s">
        <v>26</v>
      </c>
      <c r="C21" s="20" t="s">
        <v>74</v>
      </c>
    </row>
    <row r="22" spans="2:3" x14ac:dyDescent="0.25">
      <c r="B22" s="21" t="s">
        <v>75</v>
      </c>
      <c r="C22" s="20" t="s">
        <v>76</v>
      </c>
    </row>
    <row r="23" spans="2:3" x14ac:dyDescent="0.25">
      <c r="B23" s="21" t="s">
        <v>77</v>
      </c>
      <c r="C23" s="20" t="s">
        <v>78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79</v>
      </c>
    </row>
    <row r="2" spans="1:1" s="16" customFormat="1" ht="15.75" x14ac:dyDescent="0.25">
      <c r="A2" s="17"/>
    </row>
    <row r="3" spans="1:1" s="16" customFormat="1" ht="15.75" x14ac:dyDescent="0.25">
      <c r="A3" s="15" t="s">
        <v>80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81</v>
      </c>
    </row>
    <row r="8" spans="1:1" ht="15.75" x14ac:dyDescent="0.25">
      <c r="A8" s="15" t="s">
        <v>82</v>
      </c>
    </row>
    <row r="9" spans="1:1" ht="15.75" x14ac:dyDescent="0.25">
      <c r="A9" s="15" t="s">
        <v>83</v>
      </c>
    </row>
    <row r="10" spans="1:1" ht="15.75" x14ac:dyDescent="0.25">
      <c r="A10" s="15" t="s">
        <v>84</v>
      </c>
    </row>
    <row r="11" spans="1:1" ht="15.75" x14ac:dyDescent="0.25">
      <c r="A11" s="15" t="s">
        <v>85</v>
      </c>
    </row>
    <row r="12" spans="1:1" ht="15.75" x14ac:dyDescent="0.25">
      <c r="A12" s="15" t="s">
        <v>86</v>
      </c>
    </row>
    <row r="14" spans="1:1" x14ac:dyDescent="0.25">
      <c r="A14" s="25"/>
    </row>
    <row r="15" spans="1:1" x14ac:dyDescent="0.25">
      <c r="A15" s="25"/>
    </row>
    <row r="16" spans="1:1" x14ac:dyDescent="0.25">
      <c r="A16" s="25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Sandeep Chavda</cp:lastModifiedBy>
  <cp:revision/>
  <dcterms:created xsi:type="dcterms:W3CDTF">2015-06-05T18:17:20Z</dcterms:created>
  <dcterms:modified xsi:type="dcterms:W3CDTF">2026-05-04T07:15:45Z</dcterms:modified>
  <cp:category/>
  <cp:contentStatus/>
</cp:coreProperties>
</file>