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F05DC58E-7DA7-4D17-B8AA-8E9B46231B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10" i="1"/>
  <c r="I11" i="1"/>
  <c r="A10" i="1" l="1"/>
  <c r="A11" i="1" s="1"/>
  <c r="I9" i="1"/>
  <c r="I20" i="1"/>
  <c r="I19" i="1"/>
  <c r="I18" i="1"/>
  <c r="I17" i="1"/>
  <c r="I23" i="1" l="1"/>
  <c r="I14" i="1" l="1"/>
  <c r="K14" i="1"/>
  <c r="J14" i="1"/>
  <c r="K23" i="1"/>
  <c r="J23" i="1"/>
  <c r="K6" i="1"/>
  <c r="J25" i="1" l="1"/>
  <c r="J29" i="1" s="1"/>
  <c r="K25" i="1"/>
  <c r="K29" i="1" s="1"/>
  <c r="I25" i="1"/>
</calcChain>
</file>

<file path=xl/sharedStrings.xml><?xml version="1.0" encoding="utf-8"?>
<sst xmlns="http://schemas.openxmlformats.org/spreadsheetml/2006/main" count="124" uniqueCount="107">
  <si>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</si>
  <si>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</si>
  <si>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</si>
  <si>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</si>
  <si>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</si>
  <si>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</si>
  <si>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</si>
  <si>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</si>
  <si>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</si>
  <si>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</si>
  <si>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</si>
  <si>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</si>
  <si>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</si>
  <si>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</si>
  <si>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</si>
  <si>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</si>
  <si>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</si>
  <si>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</si>
  <si>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</si>
  <si>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</si>
  <si>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</si>
  <si>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</si>
  <si>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</si>
  <si>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</si>
  <si>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</si>
  <si>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</si>
  <si>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</si>
  <si>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</si>
  <si>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</si>
  <si>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</si>
  <si>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</si>
  <si>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</si>
  <si>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</si>
  <si>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</si>
  <si>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</si>
  <si>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</si>
  <si>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</si>
  <si>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</si>
  <si>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</si>
  <si>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</si>
  <si>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</si>
  <si>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</si>
  <si>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</si>
  <si>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</si>
  <si>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</si>
  <si>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</si>
  <si>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</si>
  <si>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</si>
  <si>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</si>
  <si>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</si>
  <si>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</si>
  <si>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</si>
  <si>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</si>
  <si>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</si>
  <si>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</si>
  <si>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</si>
  <si>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</si>
  <si>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</si>
  <si>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</si>
  <si>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</si>
  <si>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</si>
  <si>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</si>
  <si>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</si>
  <si>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</si>
  <si>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</si>
  <si>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</si>
  <si>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</si>
  <si>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</si>
  <si>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</si>
  <si>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</si>
  <si>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Rajan Soni</t>
  </si>
  <si>
    <t>Supervisor</t>
  </si>
  <si>
    <t>Jainam Appa</t>
  </si>
  <si>
    <t>Convery CPA</t>
  </si>
  <si>
    <t>Conscious Accounting</t>
  </si>
  <si>
    <t>Admin General</t>
  </si>
  <si>
    <t>SDA CPA Group, P.C</t>
  </si>
  <si>
    <t>Taxcap Business Services Inc.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</si>
  <si>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</si>
  <si>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</si>
  <si>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</si>
  <si>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</si>
  <si>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</si>
  <si>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</si>
  <si>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</si>
  <si>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</si>
  <si>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</si>
  <si>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</si>
  <si>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</si>
  <si>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</si>
  <si>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</si>
  <si>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</si>
  <si>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</si>
  <si>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</si>
  <si>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</si>
  <si>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Sharp Income Tax Service, Inc.</t>
  </si>
  <si>
    <t>Springline Advisory LLC</t>
  </si>
  <si>
    <t>SPRLINE CONSULTANCY PRIVATE LIMITED</t>
  </si>
  <si>
    <t>The Tax Planning Pros</t>
  </si>
  <si>
    <t>Tina Nguyen</t>
  </si>
  <si>
    <t>Total Income Tax LLC</t>
  </si>
  <si>
    <t>VN Florida Homes LLC</t>
  </si>
  <si>
    <t>Warriror Business Services</t>
  </si>
  <si>
    <t>Gurram Tax, LLC</t>
  </si>
  <si>
    <t>Palma Financial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</si>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</sst>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43" fontId="0" fillId="5" borderId="0" xfId="1" applyFont="1" applyFill="1"/>
    <xf numFmtId="43" fontId="1" fillId="5" borderId="1" xfId="1" applyFont="1" applyFill="1" applyBorder="1"/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98" zoomScaleNormal="98" workbookViewId="0">
      <pane xSplit="2" ySplit="7" topLeftCell="C19" activePane="bottomRight" state="frozen"/>
      <selection pane="topRight" activeCell="C1" sqref="C1"/>
      <selection pane="bottomLeft" activeCell="A7" sqref="A7"/>
      <selection pane="bottomRight" activeCell="B12" sqref="B12"/>
    </sheetView>
  </sheetViews>
  <sheetFormatPr defaultRowHeight="15" x14ac:dyDescent="0.25"/>
  <cols>
    <col min="1" max="1" width="13.42578125" bestFit="1" customWidth="1"/>
    <col min="2" max="2" width="27" bestFit="1" customWidth="1"/>
    <col min="3" max="3" width="24.5703125" bestFit="1" customWidth="1"/>
    <col min="4" max="4" width="38.42578125" bestFit="1" customWidth="1"/>
    <col min="5" max="5" width="10.7109375" bestFit="1" customWidth="1"/>
    <col min="6" max="6" width="9" bestFit="1" customWidth="1"/>
    <col min="7" max="7" width="11.42578125" bestFit="1" customWidth="1"/>
    <col min="8" max="8" width="13.7109375" bestFit="1" customWidth="1"/>
    <col min="9" max="9" width="20.140625" bestFit="1" customWidth="1"/>
    <col min="10" max="15" width="10.7109375" bestFit="1" customWidth="1"/>
  </cols>
  <sheetData>
    <row r="1" spans="1:15" x14ac:dyDescent="0.25">
      <c r="A1" s="1" t="s">
        <v>0</v>
      </c>
      <c r="H1" s="10"/>
    </row>
    <row r="2" spans="1:15" x14ac:dyDescent="0.25">
      <c r="A2" s="1" t="s">
        <v>1</v>
      </c>
      <c r="B2" s="8" t="s">
        <v>70</v>
      </c>
      <c r="C2" s="8" t="s">
        <v>70</v>
      </c>
      <c r="H2" s="1"/>
      <c r="I2" s="1"/>
      <c r="J2" s="9"/>
      <c r="K2" s="9"/>
    </row>
    <row r="3" spans="1:15" x14ac:dyDescent="0.25">
      <c r="A3" s="1" t="s">
        <v>2</v>
      </c>
      <c r="B3" s="8" t="s">
        <v>71</v>
      </c>
      <c r="C3" s="8" t="s">
        <v>71</v>
      </c>
      <c r="H3" s="1"/>
      <c r="I3" s="1"/>
      <c r="J3" s="9"/>
      <c r="K3" s="9"/>
    </row>
    <row r="4" spans="1:15" x14ac:dyDescent="0.25">
      <c r="A4" s="1" t="s">
        <v>3</v>
      </c>
      <c r="B4" s="8" t="s">
        <v>72</v>
      </c>
      <c r="C4" s="8" t="s">
        <v>72</v>
      </c>
      <c r="H4" s="1"/>
      <c r="I4" s="1"/>
      <c r="J4" s="9"/>
      <c r="K4" s="9"/>
    </row>
    <row r="5" spans="1:15" x14ac:dyDescent="0.25">
      <c r="A5" s="1"/>
      <c r="B5" s="8"/>
    </row>
    <row r="6" spans="1:15" x14ac:dyDescent="0.25">
      <c r="I6" s="6" t="s">
        <v>4</v>
      </c>
      <c r="J6" s="2">
        <v>46146</v>
      </c>
      <c r="K6" s="2">
        <f>J6+7</f>
        <v>46153</v>
      </c>
      <c r="L6" s="2"/>
      <c r="M6" s="2"/>
      <c r="N6" s="2"/>
      <c r="O6" s="2"/>
    </row>
    <row r="7" spans="1:15" s="1" customFormat="1" ht="30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22" t="s">
        <v>12</v>
      </c>
      <c r="J7" s="3" t="s">
        <v>105</v>
      </c>
      <c r="K7" s="3" t="s">
        <v>106</v>
      </c>
    </row>
    <row r="8" spans="1:15" x14ac:dyDescent="0.25">
      <c r="A8" s="5" t="s">
        <v>13</v>
      </c>
      <c r="B8" s="4"/>
      <c r="C8" s="4"/>
      <c r="D8" s="22"/>
      <c r="E8" s="4"/>
      <c r="F8" s="4"/>
      <c r="G8" s="4"/>
      <c r="H8" s="22"/>
      <c r="I8" s="22"/>
      <c r="J8" s="4"/>
      <c r="K8" s="4"/>
    </row>
    <row r="9" spans="1:15" x14ac:dyDescent="0.25">
      <c r="A9">
        <v>1</v>
      </c>
      <c r="B9" t="s">
        <v>76</v>
      </c>
      <c r="C9" t="s">
        <v>75</v>
      </c>
      <c r="D9" s="23" t="s">
        <v>37</v>
      </c>
      <c r="E9" s="2">
        <v>46139</v>
      </c>
      <c r="F9" s="2"/>
      <c r="G9" s="2"/>
      <c r="H9" s="23" t="s">
        <v>26</v>
      </c>
      <c r="I9" s="25">
        <f>SUM(J9:K9)</f>
        <v>21</v>
      </c>
      <c r="J9" s="29">
        <v>10.5</v>
      </c>
      <c r="K9" s="29">
        <v>10.5</v>
      </c>
    </row>
    <row r="10" spans="1:15" x14ac:dyDescent="0.25">
      <c r="A10">
        <f>+A9+1</f>
        <v>2</v>
      </c>
      <c r="B10" t="s">
        <v>73</v>
      </c>
      <c r="C10" t="s">
        <v>75</v>
      </c>
      <c r="D10" s="23" t="s">
        <v>37</v>
      </c>
      <c r="E10" s="2">
        <v>46139</v>
      </c>
      <c r="F10" s="2"/>
      <c r="G10" s="2"/>
      <c r="H10" s="23" t="s">
        <v>26</v>
      </c>
      <c r="I10" s="25">
        <f>SUM(J10:K10)</f>
        <v>24</v>
      </c>
      <c r="J10" s="29">
        <v>12</v>
      </c>
      <c r="K10" s="29">
        <v>12</v>
      </c>
    </row>
    <row r="11" spans="1:15" x14ac:dyDescent="0.25">
      <c r="A11">
        <f>+A10+1</f>
        <v>3</v>
      </c>
      <c r="B11" t="s">
        <v>77</v>
      </c>
      <c r="C11" t="s">
        <v>75</v>
      </c>
      <c r="D11" s="23" t="s">
        <v>37</v>
      </c>
      <c r="E11" s="2">
        <v>46139</v>
      </c>
      <c r="F11" s="2"/>
      <c r="G11" s="2"/>
      <c r="H11" s="23" t="s">
        <v>26</v>
      </c>
      <c r="I11" s="25">
        <f>SUM(J11:K11)</f>
        <v>16</v>
      </c>
      <c r="J11" s="29">
        <v>8</v>
      </c>
      <c r="K11" s="29">
        <v>8</v>
      </c>
    </row>
    <row r="12" spans="1:15" x14ac:dyDescent="0.25">
      <c r="D12" s="23"/>
      <c r="H12" s="23"/>
      <c r="I12" s="23"/>
    </row>
    <row r="13" spans="1:15" x14ac:dyDescent="0.25">
      <c r="D13" s="23"/>
      <c r="H13" s="23"/>
      <c r="I13" s="23"/>
    </row>
    <row r="14" spans="1:15" ht="15.75" thickBot="1" x14ac:dyDescent="0.3">
      <c r="A14" s="11" t="s">
        <v>15</v>
      </c>
      <c r="B14" s="7"/>
      <c r="C14" s="7"/>
      <c r="D14" s="7"/>
      <c r="E14" s="7"/>
      <c r="F14" s="7"/>
      <c r="G14" s="7"/>
      <c r="H14" s="7"/>
      <c r="I14" s="26">
        <f>SUM(I8:I13)</f>
        <v>61</v>
      </c>
      <c r="J14" s="13">
        <f>SUM(J8:J13)</f>
        <v>30.5</v>
      </c>
      <c r="K14" s="13">
        <f>SUM(K8:K13)</f>
        <v>30.5</v>
      </c>
    </row>
    <row r="15" spans="1:15" ht="15.75" thickTop="1" x14ac:dyDescent="0.25">
      <c r="I15" s="25"/>
      <c r="J15" s="12"/>
      <c r="K15" s="12"/>
    </row>
    <row r="16" spans="1:15" x14ac:dyDescent="0.25">
      <c r="A16" s="1" t="s">
        <v>16</v>
      </c>
      <c r="I16" s="25"/>
      <c r="J16" s="12"/>
      <c r="K16" s="12"/>
    </row>
    <row r="17" spans="1:11" x14ac:dyDescent="0.25">
      <c r="B17" t="s">
        <v>17</v>
      </c>
      <c r="I17" s="25">
        <f>SUM(J17:K17)</f>
        <v>5</v>
      </c>
      <c r="J17" s="12">
        <v>2.5</v>
      </c>
      <c r="K17" s="12">
        <v>2.5</v>
      </c>
    </row>
    <row r="18" spans="1:11" x14ac:dyDescent="0.25">
      <c r="B18" t="s">
        <v>18</v>
      </c>
      <c r="I18" s="25">
        <f>SUM(J18:K18)</f>
        <v>0</v>
      </c>
      <c r="J18" s="12"/>
      <c r="K18" s="12"/>
    </row>
    <row r="19" spans="1:11" x14ac:dyDescent="0.25">
      <c r="B19" t="s">
        <v>19</v>
      </c>
      <c r="I19" s="25">
        <f>SUM(J19:K19)</f>
        <v>0</v>
      </c>
      <c r="J19" s="12"/>
      <c r="K19" s="12"/>
    </row>
    <row r="20" spans="1:11" x14ac:dyDescent="0.25">
      <c r="B20" t="s">
        <v>20</v>
      </c>
      <c r="I20" s="25">
        <f>SUM(J20:K20)</f>
        <v>0</v>
      </c>
      <c r="J20" s="12"/>
      <c r="K20" s="12"/>
    </row>
    <row r="21" spans="1:11" x14ac:dyDescent="0.25">
      <c r="B21" t="s">
        <v>21</v>
      </c>
      <c r="I21" s="25">
        <f>SUM(J21:K21)</f>
        <v>14</v>
      </c>
      <c r="J21" s="12">
        <v>7</v>
      </c>
      <c r="K21" s="12">
        <v>7</v>
      </c>
    </row>
    <row r="22" spans="1:11" x14ac:dyDescent="0.25">
      <c r="I22" s="23"/>
    </row>
    <row r="23" spans="1:11" ht="15.75" thickBot="1" x14ac:dyDescent="0.3">
      <c r="A23" s="11" t="s">
        <v>22</v>
      </c>
      <c r="B23" s="7"/>
      <c r="C23" s="7"/>
      <c r="D23" s="7"/>
      <c r="E23" s="7"/>
      <c r="F23" s="7"/>
      <c r="G23" s="7"/>
      <c r="H23" s="7"/>
      <c r="I23" s="26">
        <f>SUM(I17:I22)</f>
        <v>19</v>
      </c>
      <c r="J23" s="13">
        <f t="shared" ref="J23:K23" si="0">SUM(J17:J22)</f>
        <v>9.5</v>
      </c>
      <c r="K23" s="13">
        <f t="shared" si="0"/>
        <v>9.5</v>
      </c>
    </row>
    <row r="24" spans="1:11" ht="15.75" thickTop="1" x14ac:dyDescent="0.25">
      <c r="I24" s="25"/>
      <c r="J24" s="12"/>
      <c r="K24" s="12"/>
    </row>
    <row r="25" spans="1:11" ht="15.75" thickBot="1" x14ac:dyDescent="0.3">
      <c r="A25" s="11" t="s">
        <v>23</v>
      </c>
      <c r="B25" s="7"/>
      <c r="C25" s="7"/>
      <c r="D25" s="7"/>
      <c r="E25" s="7"/>
      <c r="F25" s="7"/>
      <c r="G25" s="7"/>
      <c r="H25" s="7"/>
      <c r="I25" s="26">
        <f>+I23+I14</f>
        <v>80</v>
      </c>
      <c r="J25" s="13">
        <f t="shared" ref="J25:K25" si="1">+J23+J14</f>
        <v>40</v>
      </c>
      <c r="K25" s="13">
        <f t="shared" si="1"/>
        <v>40</v>
      </c>
    </row>
    <row r="26" spans="1:11" ht="15.75" thickTop="1" x14ac:dyDescent="0.25">
      <c r="I26" s="23"/>
    </row>
    <row r="27" spans="1:11" x14ac:dyDescent="0.25">
      <c r="I27" s="23"/>
    </row>
    <row r="28" spans="1:11" ht="15.75" thickBot="1" x14ac:dyDescent="0.3">
      <c r="A28" s="11" t="s">
        <v>24</v>
      </c>
      <c r="B28" s="7"/>
      <c r="C28" s="7"/>
      <c r="D28" s="7"/>
      <c r="E28" s="7"/>
      <c r="F28" s="7"/>
      <c r="G28" s="7"/>
      <c r="H28" s="7"/>
      <c r="I28" s="26"/>
      <c r="J28" s="13">
        <v>40</v>
      </c>
      <c r="K28" s="13">
        <v>40</v>
      </c>
    </row>
    <row r="29" spans="1:11" ht="16.5" thickTop="1" thickBot="1" x14ac:dyDescent="0.3">
      <c r="A29" s="11" t="s">
        <v>25</v>
      </c>
      <c r="B29" s="7"/>
      <c r="C29" s="7"/>
      <c r="D29" s="7"/>
      <c r="E29" s="7"/>
      <c r="F29" s="7"/>
      <c r="G29" s="7"/>
      <c r="H29" s="7"/>
      <c r="I29" s="26"/>
      <c r="J29" s="13">
        <f t="shared" ref="J29:K29" si="2">+J28-J25</f>
        <v>0</v>
      </c>
      <c r="K29" s="13">
        <f t="shared" si="2"/>
        <v>0</v>
      </c>
    </row>
    <row r="30" spans="1:11" ht="15.75" thickTop="1" x14ac:dyDescent="0.25"/>
  </sheetData>
  <protectedRanges>
    <protectedRange sqref="B12:C13 A12:A13 J12:XFD13 A17:XFD22 A8:I8 E12:I13 H9:I11 J8:XFD11 A9:A11" name="Range1"/>
    <protectedRange sqref="C9:C11 B9:B11" name="Range1_1"/>
    <protectedRange sqref="D9:D13" name="Range1_2"/>
    <protectedRange sqref="E9:G11" name="Range1_3"/>
  </protectedRanges>
  <pageMargins left="0.25" right="0.25" top="0.75" bottom="0.75" header="0.3" footer="0.3"/>
  <pageSetup orientation="landscape" horizontalDpi="1200" verticalDpi="1200" r:id="rId1"/>
  <ignoredErrors>
    <ignoredError sqref="I9:I11 I12" formulaRange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H9:H13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F1" sqref="F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47</v>
      </c>
      <c r="C7" s="19" t="s">
        <v>48</v>
      </c>
    </row>
    <row r="8" spans="2:3" x14ac:dyDescent="0.25">
      <c r="B8" s="18" t="s">
        <v>38</v>
      </c>
      <c r="C8" s="19" t="s">
        <v>49</v>
      </c>
    </row>
    <row r="9" spans="2:3" x14ac:dyDescent="0.25">
      <c r="B9" s="18" t="s">
        <v>39</v>
      </c>
      <c r="C9" s="19" t="s">
        <v>50</v>
      </c>
    </row>
    <row r="10" spans="2:3" x14ac:dyDescent="0.25">
      <c r="B10" s="18" t="s">
        <v>68</v>
      </c>
      <c r="C10" s="19" t="s">
        <v>69</v>
      </c>
    </row>
    <row r="11" spans="2:3" x14ac:dyDescent="0.25">
      <c r="B11" s="18" t="s">
        <v>51</v>
      </c>
      <c r="C11" s="19" t="s">
        <v>52</v>
      </c>
    </row>
    <row r="15" spans="2:3" ht="16.5" x14ac:dyDescent="0.25">
      <c r="B15" s="21" t="s">
        <v>53</v>
      </c>
      <c r="C15" s="21" t="s">
        <v>40</v>
      </c>
    </row>
    <row r="16" spans="2:3" x14ac:dyDescent="0.25">
      <c r="B16" s="20" t="s">
        <v>26</v>
      </c>
      <c r="C16" s="19" t="s">
        <v>54</v>
      </c>
    </row>
    <row r="17" spans="2:3" x14ac:dyDescent="0.25">
      <c r="B17" s="20" t="s">
        <v>55</v>
      </c>
      <c r="C17" s="19" t="s">
        <v>56</v>
      </c>
    </row>
    <row r="18" spans="2:3" x14ac:dyDescent="0.25">
      <c r="B18" s="20" t="s">
        <v>34</v>
      </c>
      <c r="C18" s="19" t="s">
        <v>57</v>
      </c>
    </row>
    <row r="19" spans="2:3" x14ac:dyDescent="0.25">
      <c r="B19" s="20" t="s">
        <v>14</v>
      </c>
      <c r="C19" s="19" t="s">
        <v>58</v>
      </c>
    </row>
    <row r="20" spans="2:3" x14ac:dyDescent="0.25">
      <c r="B20" s="20" t="s">
        <v>27</v>
      </c>
      <c r="C20" s="19" t="s">
        <v>59</v>
      </c>
    </row>
    <row r="21" spans="2:3" x14ac:dyDescent="0.25">
      <c r="B21" s="20" t="s">
        <v>28</v>
      </c>
      <c r="C21" s="19" t="s">
        <v>60</v>
      </c>
    </row>
    <row r="22" spans="2:3" x14ac:dyDescent="0.25">
      <c r="B22" s="20" t="s">
        <v>61</v>
      </c>
      <c r="C22" s="19" t="s">
        <v>62</v>
      </c>
    </row>
    <row r="23" spans="2:3" x14ac:dyDescent="0.25">
      <c r="B23" s="20" t="s">
        <v>33</v>
      </c>
      <c r="C23" s="19" t="s">
        <v>63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92D3-F728-4FB6-97F0-6B56E2E5C337}">
  <dimension ref="A1:B31"/>
  <sheetViews>
    <sheetView workbookViewId="0">
      <selection activeCell="B27" sqref="B27"/>
    </sheetView>
  </sheetViews>
  <sheetFormatPr defaultRowHeight="15" x14ac:dyDescent="0.25"/>
  <cols>
    <col min="1" max="1" width="5.85546875" bestFit="1" customWidth="1"/>
    <col min="2" max="2" width="42.85546875" customWidth="1"/>
  </cols>
  <sheetData>
    <row r="1" spans="1:2" x14ac:dyDescent="0.25">
      <c r="A1" s="27" t="s">
        <v>78</v>
      </c>
      <c r="B1" s="27" t="s">
        <v>6</v>
      </c>
    </row>
    <row r="2" spans="1:2" x14ac:dyDescent="0.25">
      <c r="A2" s="27">
        <v>1</v>
      </c>
      <c r="B2" s="28" t="s">
        <v>79</v>
      </c>
    </row>
    <row r="3" spans="1:2" x14ac:dyDescent="0.25">
      <c r="A3" s="27">
        <v>2</v>
      </c>
      <c r="B3" s="28" t="s">
        <v>80</v>
      </c>
    </row>
    <row r="4" spans="1:2" x14ac:dyDescent="0.25">
      <c r="A4" s="27">
        <v>3</v>
      </c>
      <c r="B4" s="28" t="s">
        <v>81</v>
      </c>
    </row>
    <row r="5" spans="1:2" x14ac:dyDescent="0.25">
      <c r="A5" s="27">
        <v>4</v>
      </c>
      <c r="B5" s="28" t="s">
        <v>82</v>
      </c>
    </row>
    <row r="6" spans="1:2" x14ac:dyDescent="0.25">
      <c r="A6" s="27">
        <v>5</v>
      </c>
      <c r="B6" s="28" t="s">
        <v>83</v>
      </c>
    </row>
    <row r="7" spans="1:2" x14ac:dyDescent="0.25">
      <c r="A7" s="27">
        <v>6</v>
      </c>
      <c r="B7" s="28" t="s">
        <v>84</v>
      </c>
    </row>
    <row r="8" spans="1:2" x14ac:dyDescent="0.25">
      <c r="A8" s="27">
        <v>7</v>
      </c>
      <c r="B8" s="28" t="s">
        <v>74</v>
      </c>
    </row>
    <row r="9" spans="1:2" x14ac:dyDescent="0.25">
      <c r="A9" s="27">
        <v>8</v>
      </c>
      <c r="B9" s="28" t="s">
        <v>73</v>
      </c>
    </row>
    <row r="10" spans="1:2" x14ac:dyDescent="0.25">
      <c r="A10" s="27">
        <v>9</v>
      </c>
      <c r="B10" s="28" t="s">
        <v>85</v>
      </c>
    </row>
    <row r="11" spans="1:2" x14ac:dyDescent="0.25">
      <c r="A11" s="27">
        <v>10</v>
      </c>
      <c r="B11" s="28" t="s">
        <v>86</v>
      </c>
    </row>
    <row r="12" spans="1:2" x14ac:dyDescent="0.25">
      <c r="A12" s="27">
        <v>11</v>
      </c>
      <c r="B12" s="28" t="s">
        <v>87</v>
      </c>
    </row>
    <row r="13" spans="1:2" x14ac:dyDescent="0.25">
      <c r="A13" s="27">
        <v>12</v>
      </c>
      <c r="B13" s="28" t="s">
        <v>88</v>
      </c>
    </row>
    <row r="14" spans="1:2" x14ac:dyDescent="0.25">
      <c r="A14" s="27">
        <v>13</v>
      </c>
      <c r="B14" s="28" t="s">
        <v>89</v>
      </c>
    </row>
    <row r="15" spans="1:2" x14ac:dyDescent="0.25">
      <c r="A15" s="27">
        <v>14</v>
      </c>
      <c r="B15" s="28" t="s">
        <v>90</v>
      </c>
    </row>
    <row r="16" spans="1:2" x14ac:dyDescent="0.25">
      <c r="A16" s="27">
        <v>15</v>
      </c>
      <c r="B16" s="28" t="s">
        <v>91</v>
      </c>
    </row>
    <row r="17" spans="1:2" x14ac:dyDescent="0.25">
      <c r="A17" s="27">
        <v>16</v>
      </c>
      <c r="B17" s="28" t="s">
        <v>92</v>
      </c>
    </row>
    <row r="18" spans="1:2" x14ac:dyDescent="0.25">
      <c r="A18" s="27">
        <v>17</v>
      </c>
      <c r="B18" s="28" t="s">
        <v>93</v>
      </c>
    </row>
    <row r="19" spans="1:2" x14ac:dyDescent="0.25">
      <c r="A19" s="27">
        <v>18</v>
      </c>
      <c r="B19" s="28" t="s">
        <v>94</v>
      </c>
    </row>
    <row r="20" spans="1:2" x14ac:dyDescent="0.25">
      <c r="A20" s="27">
        <v>19</v>
      </c>
      <c r="B20" s="28" t="s">
        <v>76</v>
      </c>
    </row>
    <row r="21" spans="1:2" x14ac:dyDescent="0.25">
      <c r="A21" s="27">
        <v>20</v>
      </c>
      <c r="B21" s="28" t="s">
        <v>95</v>
      </c>
    </row>
    <row r="22" spans="1:2" x14ac:dyDescent="0.25">
      <c r="A22" s="27">
        <v>21</v>
      </c>
      <c r="B22" s="28" t="s">
        <v>96</v>
      </c>
    </row>
    <row r="23" spans="1:2" x14ac:dyDescent="0.25">
      <c r="A23" s="27">
        <v>22</v>
      </c>
      <c r="B23" s="28" t="s">
        <v>97</v>
      </c>
    </row>
    <row r="24" spans="1:2" x14ac:dyDescent="0.25">
      <c r="A24" s="27">
        <v>23</v>
      </c>
      <c r="B24" s="28" t="s">
        <v>77</v>
      </c>
    </row>
    <row r="25" spans="1:2" x14ac:dyDescent="0.25">
      <c r="A25" s="27">
        <v>24</v>
      </c>
      <c r="B25" s="28" t="s">
        <v>98</v>
      </c>
    </row>
    <row r="26" spans="1:2" x14ac:dyDescent="0.25">
      <c r="A26" s="27">
        <v>25</v>
      </c>
      <c r="B26" s="28" t="s">
        <v>99</v>
      </c>
    </row>
    <row r="27" spans="1:2" x14ac:dyDescent="0.25">
      <c r="A27" s="27">
        <v>26</v>
      </c>
      <c r="B27" s="28" t="s">
        <v>100</v>
      </c>
    </row>
    <row r="28" spans="1:2" x14ac:dyDescent="0.25">
      <c r="A28" s="27">
        <v>27</v>
      </c>
      <c r="B28" s="28" t="s">
        <v>101</v>
      </c>
    </row>
    <row r="29" spans="1:2" x14ac:dyDescent="0.25">
      <c r="A29" s="27">
        <v>28</v>
      </c>
      <c r="B29" s="28" t="s">
        <v>102</v>
      </c>
    </row>
    <row r="30" spans="1:2" x14ac:dyDescent="0.25">
      <c r="A30" s="27">
        <v>29</v>
      </c>
      <c r="B30" s="28" t="s">
        <v>104</v>
      </c>
    </row>
    <row r="31" spans="1:2" x14ac:dyDescent="0.25">
      <c r="A31" s="27">
        <v>30</v>
      </c>
      <c r="B31" s="1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Rajan Soni</cp:lastModifiedBy>
  <cp:revision/>
  <dcterms:created xsi:type="dcterms:W3CDTF">2015-06-05T18:17:20Z</dcterms:created>
  <dcterms:modified xsi:type="dcterms:W3CDTF">2026-05-01T08:03:25Z</dcterms:modified>
  <cp:category/>
  <cp:contentStatus/>
</cp:coreProperties>
</file>