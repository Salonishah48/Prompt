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Pragnesh Soni\"/>
    </mc:Choice>
  </mc:AlternateContent>
  <xr:revisionPtr revIDLastSave="0" documentId="13_ncr:1_{AAFC2AC3-C834-4CF5-BEBE-4BFB03CA52E7}" xr6:coauthVersionLast="47" xr6:coauthVersionMax="47" xr10:uidLastSave="{00000000-0000-0000-0000-000000000000}"/>
  <bookViews>
    <workbookView xWindow="20370" yWindow="-120" windowWidth="20730" windowHeight="11040" xr2:uid="{B02487C1-7B00-46FB-9FD9-7E848764AF91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WIP!$A$7:$N$20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6" i="1"/>
  <c r="I25" i="1"/>
  <c r="I21" i="1"/>
  <c r="I22" i="1"/>
  <c r="I23" i="1"/>
  <c r="I24" i="1"/>
  <c r="I20" i="1"/>
  <c r="I19" i="1"/>
  <c r="I18" i="1"/>
  <c r="I17" i="1"/>
  <c r="I9" i="1"/>
  <c r="I11" i="1"/>
  <c r="I12" i="1"/>
  <c r="I13" i="1"/>
  <c r="I14" i="1"/>
  <c r="I34" i="1"/>
  <c r="I15" i="1"/>
  <c r="I33" i="1"/>
  <c r="I32" i="1"/>
  <c r="I31" i="1"/>
  <c r="I30" i="1"/>
  <c r="I36" i="1" l="1"/>
  <c r="J27" i="1"/>
  <c r="J36" i="1"/>
  <c r="J38" i="1" l="1"/>
  <c r="I27" i="1"/>
  <c r="N27" i="1"/>
  <c r="M27" i="1"/>
  <c r="L27" i="1"/>
  <c r="K27" i="1"/>
  <c r="N36" i="1"/>
  <c r="M36" i="1"/>
  <c r="L36" i="1"/>
  <c r="K36" i="1"/>
  <c r="K6" i="1"/>
  <c r="L6" i="1" s="1"/>
  <c r="M6" i="1" s="1"/>
  <c r="M38" i="1" l="1"/>
  <c r="M42" i="1" s="1"/>
  <c r="J42" i="1"/>
  <c r="K38" i="1"/>
  <c r="K42" i="1" s="1"/>
  <c r="N38" i="1"/>
  <c r="N42" i="1" s="1"/>
  <c r="L38" i="1"/>
  <c r="L42" i="1" s="1"/>
  <c r="I38" i="1"/>
</calcChain>
</file>

<file path=xl/sharedStrings.xml><?xml version="1.0" encoding="utf-8"?>
<sst xmlns="http://schemas.openxmlformats.org/spreadsheetml/2006/main" count="151" uniqueCount="98">
  <si>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</si>
  <si>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</si>
  <si>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</si>
  <si>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</si>
  <si>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</si>
  <si>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</si>
  <si>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</si>
  <si>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</si>
  <si>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</si>
  <si>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</si>
  <si>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</si>
  <si>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</si>
  <si>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</si>
  <si>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</si>
  <si>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</si>
  <si>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</si>
  <si>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</si>
  <si>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</si>
  <si>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</si>
  <si>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</si>
  <si>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</si>
  <si>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</si>
  <si>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</si>
  <si>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</si>
  <si>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</si>
  <si>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</si>
  <si>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</si>
  <si>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</si>
  <si>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</si>
  <si>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</si>
  <si>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</si>
  <si>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</si>
  <si>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</si>
  <si>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</si>
  <si>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</si>
  <si>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</si>
  <si>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</si>
  <si>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</si>
  <si>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</si>
  <si>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</si>
  <si>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</si>
  <si>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</si>
  <si>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</si>
  <si>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</si>
  <si>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</si>
  <si>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</si>
  <si>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</si>
  <si>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</si>
  <si>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</si>
  <si>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</si>
  <si>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</si>
  <si>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</si>
  <si>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</si>
  <si>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</si>
  <si>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</si>
  <si>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</si>
  <si>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</si>
  <si>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</si>
  <si>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</si>
  <si>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</si>
  <si>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</si>
  <si>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</si>
  <si>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</si>
  <si>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</si>
  <si>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</si>
  <si>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</si>
  <si>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</si>
  <si>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</si>
  <si>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</si>
  <si>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</si>
  <si>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</si>
  <si>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</si>
  <si>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</si>
  <si>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</si>
  <si>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Call with client</t>
  </si>
  <si>
    <t>Sandip Kori</t>
  </si>
  <si>
    <t>Admin - General</t>
  </si>
  <si>
    <t>Texas Lawn &amp; Landscape LLC</t>
  </si>
  <si>
    <t>Optimum Usu LLC</t>
  </si>
  <si>
    <t>Southern Lace Estates LLC</t>
  </si>
  <si>
    <t>Natural Balance Counseling PLLC</t>
  </si>
  <si>
    <t>R&amp;D</t>
  </si>
  <si>
    <t>Matthew Mann CPA PLLC</t>
  </si>
  <si>
    <t>Premier Mechanic LLC</t>
  </si>
  <si>
    <t>Xcess Holdings of Texas</t>
  </si>
  <si>
    <t>Torres Ventures</t>
  </si>
  <si>
    <t>Senior</t>
  </si>
  <si>
    <t>Pragneshkumar Soni</t>
  </si>
  <si>
    <t>OMOG Construction</t>
  </si>
  <si>
    <t>L&amp;Y Tax Advisors (Jake Lambert)</t>
  </si>
  <si>
    <t>Davner, LLC</t>
  </si>
  <si>
    <t>BC Billiards, LLC</t>
  </si>
  <si>
    <t>Aletheia Integrative LLC</t>
  </si>
  <si>
    <t>Aletheia Integrative Medical LLC</t>
  </si>
  <si>
    <t>D-Trini LLC dba Curry Mouth</t>
  </si>
  <si>
    <t>Hardcastle Insurance Agency</t>
  </si>
  <si>
    <t>Ellis &amp; Thomas PLLC</t>
  </si>
  <si>
    <t>Weekly Meeting with AI &amp; Automation Team and research on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</si>
</sst>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/>
  </sheetViews>
  <sheetFormatPr defaultRowHeight="15" x14ac:dyDescent="0.25"/>
  <cols>
    <col min="1" max="1" width="28.85546875" bestFit="1" customWidth="1"/>
    <col min="2" max="2" width="29.28515625" bestFit="1" customWidth="1"/>
    <col min="3" max="3" width="21.28515625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75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2</v>
      </c>
      <c r="B3" s="10" t="s">
        <v>86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3</v>
      </c>
      <c r="B4" s="10" t="s">
        <v>87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7">
        <v>46146</v>
      </c>
      <c r="K6" s="2">
        <f>J6+7</f>
        <v>46153</v>
      </c>
      <c r="L6" s="2">
        <f>K6+7</f>
        <v>46160</v>
      </c>
      <c r="M6" s="2">
        <f>L6+7</f>
        <v>46167</v>
      </c>
      <c r="N6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24" t="s">
        <v>40</v>
      </c>
      <c r="E7" s="3" t="s">
        <v>9</v>
      </c>
      <c r="F7" s="3" t="s">
        <v>10</v>
      </c>
      <c r="G7" s="3" t="s">
        <v>11</v>
      </c>
      <c r="H7" s="24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4" t="s">
        <v>5</v>
      </c>
    </row>
    <row r="8" spans="1:14" x14ac:dyDescent="0.25">
      <c r="A8" s="7" t="s">
        <v>18</v>
      </c>
      <c r="B8" s="5"/>
      <c r="C8" s="5"/>
      <c r="D8" s="24"/>
      <c r="E8" s="5"/>
      <c r="F8" s="5"/>
      <c r="G8" s="5"/>
      <c r="H8" s="24"/>
      <c r="I8" s="5"/>
      <c r="J8" s="5"/>
      <c r="K8" s="5"/>
      <c r="L8" s="5"/>
      <c r="M8" s="5"/>
      <c r="N8" s="6"/>
    </row>
    <row r="9" spans="1:14" x14ac:dyDescent="0.25">
      <c r="A9">
        <v>1</v>
      </c>
      <c r="B9" s="28" t="s">
        <v>89</v>
      </c>
      <c r="C9" t="s">
        <v>76</v>
      </c>
      <c r="D9" s="25" t="s">
        <v>73</v>
      </c>
      <c r="E9" s="2">
        <v>46139</v>
      </c>
      <c r="F9" s="2"/>
      <c r="G9" s="2"/>
      <c r="H9" s="25" t="s">
        <v>19</v>
      </c>
      <c r="I9" s="14">
        <f t="shared" ref="I9:I24" si="0">SUM(J9:N9)</f>
        <v>12</v>
      </c>
      <c r="J9" s="14">
        <v>6</v>
      </c>
      <c r="K9" s="14">
        <v>6</v>
      </c>
      <c r="L9" s="14"/>
      <c r="M9" s="14"/>
      <c r="N9" s="14"/>
    </row>
    <row r="10" spans="1:14" x14ac:dyDescent="0.25">
      <c r="A10">
        <v>2</v>
      </c>
      <c r="B10" s="28" t="s">
        <v>89</v>
      </c>
      <c r="C10" t="s">
        <v>96</v>
      </c>
      <c r="D10" s="25" t="s">
        <v>49</v>
      </c>
      <c r="E10" s="2">
        <v>46134</v>
      </c>
      <c r="F10" s="2"/>
      <c r="G10" s="2"/>
      <c r="H10" s="25" t="s">
        <v>19</v>
      </c>
      <c r="I10" s="14">
        <f t="shared" si="0"/>
        <v>37</v>
      </c>
      <c r="J10" s="14">
        <v>25</v>
      </c>
      <c r="K10" s="14">
        <v>12</v>
      </c>
      <c r="L10" s="14"/>
      <c r="M10" s="14"/>
      <c r="N10" s="14"/>
    </row>
    <row r="11" spans="1:14" x14ac:dyDescent="0.25">
      <c r="A11">
        <v>3</v>
      </c>
      <c r="B11" s="28" t="s">
        <v>89</v>
      </c>
      <c r="C11" t="s">
        <v>77</v>
      </c>
      <c r="D11" s="25" t="s">
        <v>42</v>
      </c>
      <c r="E11" s="2">
        <v>46139</v>
      </c>
      <c r="F11" s="2"/>
      <c r="G11" s="2"/>
      <c r="H11" s="25" t="s">
        <v>31</v>
      </c>
      <c r="I11" s="14">
        <f t="shared" si="0"/>
        <v>0.5</v>
      </c>
      <c r="J11" s="14"/>
      <c r="K11" s="14">
        <v>0.5</v>
      </c>
      <c r="L11" s="14"/>
      <c r="M11" s="14"/>
    </row>
    <row r="12" spans="1:14" x14ac:dyDescent="0.25">
      <c r="A12">
        <v>4</v>
      </c>
      <c r="B12" s="28" t="s">
        <v>89</v>
      </c>
      <c r="C12" t="s">
        <v>78</v>
      </c>
      <c r="D12" s="25" t="s">
        <v>42</v>
      </c>
      <c r="E12" s="2">
        <v>46139</v>
      </c>
      <c r="F12" s="2"/>
      <c r="G12" s="2"/>
      <c r="H12" s="25" t="s">
        <v>31</v>
      </c>
      <c r="I12" s="14">
        <f t="shared" si="0"/>
        <v>0.5</v>
      </c>
      <c r="J12" s="14"/>
      <c r="K12" s="14">
        <v>0.5</v>
      </c>
      <c r="L12" s="14"/>
      <c r="M12" s="14"/>
    </row>
    <row r="13" spans="1:14" x14ac:dyDescent="0.25">
      <c r="A13">
        <v>5</v>
      </c>
      <c r="B13" s="28" t="s">
        <v>89</v>
      </c>
      <c r="C13" t="s">
        <v>79</v>
      </c>
      <c r="D13" s="25" t="s">
        <v>42</v>
      </c>
      <c r="E13" s="2">
        <v>46139</v>
      </c>
      <c r="F13" s="2"/>
      <c r="G13" s="2"/>
      <c r="H13" s="25" t="s">
        <v>31</v>
      </c>
      <c r="I13" s="14">
        <f t="shared" si="0"/>
        <v>0.5</v>
      </c>
      <c r="J13" s="14"/>
      <c r="K13" s="14">
        <v>0.5</v>
      </c>
      <c r="L13" s="14"/>
      <c r="M13" s="14"/>
    </row>
    <row r="14" spans="1:14" x14ac:dyDescent="0.25">
      <c r="A14">
        <v>6</v>
      </c>
      <c r="B14" s="28" t="s">
        <v>89</v>
      </c>
      <c r="C14" t="s">
        <v>80</v>
      </c>
      <c r="D14" s="25" t="s">
        <v>42</v>
      </c>
      <c r="E14" s="2">
        <v>46139</v>
      </c>
      <c r="F14" s="2"/>
      <c r="G14" s="2"/>
      <c r="H14" s="25" t="s">
        <v>31</v>
      </c>
      <c r="I14" s="14">
        <f t="shared" si="0"/>
        <v>2</v>
      </c>
      <c r="J14" s="14"/>
      <c r="K14" s="14">
        <v>2</v>
      </c>
      <c r="L14" s="14"/>
      <c r="M14" s="14"/>
    </row>
    <row r="15" spans="1:14" x14ac:dyDescent="0.25">
      <c r="A15">
        <v>7</v>
      </c>
      <c r="B15" s="28" t="s">
        <v>82</v>
      </c>
      <c r="C15" t="s">
        <v>76</v>
      </c>
      <c r="D15" s="25" t="s">
        <v>73</v>
      </c>
      <c r="E15" s="2">
        <v>46139</v>
      </c>
      <c r="F15" s="2"/>
      <c r="G15" s="2"/>
      <c r="H15" s="25" t="s">
        <v>19</v>
      </c>
      <c r="I15" s="14">
        <f t="shared" si="0"/>
        <v>1</v>
      </c>
      <c r="J15">
        <v>0.5</v>
      </c>
      <c r="K15" s="14">
        <v>0.5</v>
      </c>
      <c r="L15" s="14"/>
    </row>
    <row r="16" spans="1:14" x14ac:dyDescent="0.25">
      <c r="A16">
        <v>8</v>
      </c>
      <c r="B16" s="28" t="s">
        <v>89</v>
      </c>
      <c r="C16" t="s">
        <v>95</v>
      </c>
      <c r="D16" s="25" t="s">
        <v>49</v>
      </c>
      <c r="E16" s="2">
        <v>46139</v>
      </c>
      <c r="F16" s="2"/>
      <c r="H16" s="25" t="s">
        <v>31</v>
      </c>
      <c r="I16" s="14">
        <f t="shared" si="0"/>
        <v>3</v>
      </c>
      <c r="K16">
        <v>3</v>
      </c>
      <c r="M16" s="14"/>
      <c r="N16" s="14"/>
    </row>
    <row r="17" spans="1:14" x14ac:dyDescent="0.25">
      <c r="A17">
        <v>9</v>
      </c>
      <c r="B17" s="28" t="s">
        <v>89</v>
      </c>
      <c r="C17" t="s">
        <v>83</v>
      </c>
      <c r="D17" s="25" t="s">
        <v>42</v>
      </c>
      <c r="E17" s="2">
        <v>46139</v>
      </c>
      <c r="F17" s="2"/>
      <c r="H17" s="25" t="s">
        <v>31</v>
      </c>
      <c r="I17" s="14">
        <f t="shared" si="0"/>
        <v>7</v>
      </c>
      <c r="J17" s="14">
        <v>3</v>
      </c>
      <c r="K17" s="14">
        <v>4</v>
      </c>
      <c r="L17" s="14"/>
      <c r="M17" s="14"/>
      <c r="N17" s="14"/>
    </row>
    <row r="18" spans="1:14" x14ac:dyDescent="0.25">
      <c r="A18">
        <v>10</v>
      </c>
      <c r="B18" s="28" t="s">
        <v>89</v>
      </c>
      <c r="C18" t="s">
        <v>84</v>
      </c>
      <c r="D18" s="25" t="s">
        <v>42</v>
      </c>
      <c r="E18" s="2">
        <v>46139</v>
      </c>
      <c r="F18" s="2"/>
      <c r="H18" s="25" t="s">
        <v>31</v>
      </c>
      <c r="I18" s="14">
        <f t="shared" si="0"/>
        <v>0.5</v>
      </c>
      <c r="J18">
        <v>0.5</v>
      </c>
      <c r="K18" s="14"/>
      <c r="L18" s="14"/>
      <c r="M18" s="14"/>
      <c r="N18" s="14"/>
    </row>
    <row r="19" spans="1:14" x14ac:dyDescent="0.25">
      <c r="A19">
        <v>11</v>
      </c>
      <c r="B19" s="28" t="s">
        <v>89</v>
      </c>
      <c r="C19" t="s">
        <v>85</v>
      </c>
      <c r="D19" s="25" t="s">
        <v>42</v>
      </c>
      <c r="E19" s="2">
        <v>46139</v>
      </c>
      <c r="F19" s="2"/>
      <c r="H19" s="25" t="s">
        <v>31</v>
      </c>
      <c r="I19" s="14">
        <f t="shared" si="0"/>
        <v>0.25</v>
      </c>
      <c r="J19" s="14">
        <v>0.25</v>
      </c>
      <c r="K19" s="14"/>
      <c r="L19" s="14"/>
      <c r="M19" s="14"/>
      <c r="N19" s="14"/>
    </row>
    <row r="20" spans="1:14" x14ac:dyDescent="0.25">
      <c r="A20">
        <v>12</v>
      </c>
      <c r="B20" s="28" t="s">
        <v>89</v>
      </c>
      <c r="C20" t="s">
        <v>88</v>
      </c>
      <c r="D20" s="25" t="s">
        <v>42</v>
      </c>
      <c r="E20" s="2">
        <v>46139</v>
      </c>
      <c r="F20" s="2"/>
      <c r="H20" s="25" t="s">
        <v>31</v>
      </c>
      <c r="I20" s="14">
        <f t="shared" si="0"/>
        <v>2</v>
      </c>
      <c r="J20" s="14"/>
      <c r="K20" s="14">
        <v>2</v>
      </c>
      <c r="L20" s="14"/>
      <c r="M20" s="14"/>
      <c r="N20" s="14"/>
    </row>
    <row r="21" spans="1:14" x14ac:dyDescent="0.25">
      <c r="A21">
        <v>13</v>
      </c>
      <c r="B21" s="28" t="s">
        <v>89</v>
      </c>
      <c r="C21" s="28" t="s">
        <v>90</v>
      </c>
      <c r="D21" s="25" t="s">
        <v>49</v>
      </c>
      <c r="E21" s="2">
        <v>46139</v>
      </c>
      <c r="F21" s="2"/>
      <c r="H21" s="25" t="s">
        <v>31</v>
      </c>
      <c r="I21" s="14">
        <f t="shared" si="0"/>
        <v>1</v>
      </c>
      <c r="J21" s="14"/>
      <c r="K21" s="14">
        <v>1</v>
      </c>
      <c r="L21" s="14"/>
      <c r="M21" s="14"/>
      <c r="N21" s="14"/>
    </row>
    <row r="22" spans="1:14" x14ac:dyDescent="0.25">
      <c r="A22">
        <v>14</v>
      </c>
      <c r="B22" s="28" t="s">
        <v>89</v>
      </c>
      <c r="C22" s="28" t="s">
        <v>91</v>
      </c>
      <c r="D22" s="25" t="s">
        <v>49</v>
      </c>
      <c r="E22" s="2">
        <v>46139</v>
      </c>
      <c r="F22" s="2"/>
      <c r="H22" s="25" t="s">
        <v>31</v>
      </c>
      <c r="I22" s="14">
        <f t="shared" si="0"/>
        <v>3</v>
      </c>
      <c r="J22" s="14"/>
      <c r="K22" s="14">
        <v>3</v>
      </c>
      <c r="L22" s="14"/>
      <c r="M22" s="14"/>
      <c r="N22" s="14"/>
    </row>
    <row r="23" spans="1:14" x14ac:dyDescent="0.25">
      <c r="A23">
        <v>15</v>
      </c>
      <c r="B23" s="28" t="s">
        <v>89</v>
      </c>
      <c r="C23" s="28" t="s">
        <v>92</v>
      </c>
      <c r="D23" s="25" t="s">
        <v>49</v>
      </c>
      <c r="E23" s="2">
        <v>46139</v>
      </c>
      <c r="F23" s="2"/>
      <c r="H23" s="25" t="s">
        <v>31</v>
      </c>
      <c r="I23" s="14">
        <f t="shared" si="0"/>
        <v>0.5</v>
      </c>
      <c r="J23" s="14"/>
      <c r="K23" s="14">
        <v>0.5</v>
      </c>
      <c r="L23" s="14"/>
      <c r="M23" s="14"/>
      <c r="N23" s="14"/>
    </row>
    <row r="24" spans="1:14" x14ac:dyDescent="0.25">
      <c r="A24">
        <v>16</v>
      </c>
      <c r="B24" s="28" t="s">
        <v>89</v>
      </c>
      <c r="C24" s="28" t="s">
        <v>93</v>
      </c>
      <c r="D24" s="25" t="s">
        <v>49</v>
      </c>
      <c r="E24" s="2">
        <v>46139</v>
      </c>
      <c r="F24" s="2"/>
      <c r="H24" s="25" t="s">
        <v>31</v>
      </c>
      <c r="I24" s="14">
        <f t="shared" si="0"/>
        <v>0.5</v>
      </c>
      <c r="J24" s="14"/>
      <c r="K24" s="14">
        <v>0.5</v>
      </c>
      <c r="L24" s="14"/>
      <c r="M24" s="14"/>
      <c r="N24" s="14"/>
    </row>
    <row r="25" spans="1:14" x14ac:dyDescent="0.25">
      <c r="A25">
        <v>17</v>
      </c>
      <c r="B25" s="28" t="s">
        <v>89</v>
      </c>
      <c r="C25" s="28" t="s">
        <v>94</v>
      </c>
      <c r="D25" s="25" t="s">
        <v>49</v>
      </c>
      <c r="E25" s="2">
        <v>46139</v>
      </c>
      <c r="F25" s="2"/>
      <c r="H25" s="25" t="s">
        <v>31</v>
      </c>
      <c r="I25" s="14">
        <f t="shared" ref="I25" si="1">SUM(J25:N25)</f>
        <v>0.5</v>
      </c>
      <c r="J25" s="14">
        <v>0.5</v>
      </c>
      <c r="K25" s="14"/>
      <c r="L25" s="14"/>
      <c r="M25" s="14"/>
      <c r="N25" s="14"/>
    </row>
    <row r="26" spans="1:14" x14ac:dyDescent="0.25">
      <c r="D26" s="25"/>
      <c r="H26" s="25"/>
    </row>
    <row r="27" spans="1:14" ht="15.75" thickBot="1" x14ac:dyDescent="0.3">
      <c r="A27" s="13" t="s">
        <v>20</v>
      </c>
      <c r="B27" s="9"/>
      <c r="C27" s="9"/>
      <c r="D27" s="9"/>
      <c r="E27" s="9"/>
      <c r="F27" s="9"/>
      <c r="G27" s="9"/>
      <c r="H27" s="9"/>
      <c r="I27" s="15">
        <f t="shared" ref="I27:N27" si="2">SUM(I8:I26)</f>
        <v>71.75</v>
      </c>
      <c r="J27" s="15">
        <f t="shared" si="2"/>
        <v>35.75</v>
      </c>
      <c r="K27" s="15">
        <f t="shared" si="2"/>
        <v>36</v>
      </c>
      <c r="L27" s="15">
        <f t="shared" si="2"/>
        <v>0</v>
      </c>
      <c r="M27" s="15">
        <f t="shared" si="2"/>
        <v>0</v>
      </c>
      <c r="N27" s="15">
        <f t="shared" si="2"/>
        <v>0</v>
      </c>
    </row>
    <row r="28" spans="1:14" ht="15.75" thickTop="1" x14ac:dyDescent="0.25">
      <c r="I28" s="14"/>
      <c r="J28" s="14"/>
      <c r="K28" s="14"/>
      <c r="L28" s="14"/>
      <c r="M28" s="14"/>
      <c r="N28" s="14"/>
    </row>
    <row r="29" spans="1:14" x14ac:dyDescent="0.25">
      <c r="A29" s="1" t="s">
        <v>21</v>
      </c>
      <c r="I29" s="14"/>
      <c r="J29" s="14"/>
      <c r="K29" s="14"/>
      <c r="L29" s="14"/>
      <c r="M29" s="14"/>
      <c r="N29" s="14"/>
    </row>
    <row r="30" spans="1:14" x14ac:dyDescent="0.25">
      <c r="B30" t="s">
        <v>22</v>
      </c>
      <c r="I30" s="14">
        <f>SUM(J30:N30)</f>
        <v>0</v>
      </c>
      <c r="J30" s="14"/>
      <c r="K30" s="14"/>
      <c r="L30" s="14"/>
      <c r="M30" s="14"/>
      <c r="N30" s="14"/>
    </row>
    <row r="31" spans="1:14" x14ac:dyDescent="0.25">
      <c r="B31" t="s">
        <v>23</v>
      </c>
      <c r="I31" s="14">
        <f>SUM(J31:N31)</f>
        <v>0</v>
      </c>
      <c r="J31" s="14"/>
      <c r="K31" s="14"/>
      <c r="L31" s="14"/>
      <c r="M31" s="14"/>
      <c r="N31" s="14"/>
    </row>
    <row r="32" spans="1:14" x14ac:dyDescent="0.25">
      <c r="B32" t="s">
        <v>24</v>
      </c>
      <c r="C32" t="s">
        <v>81</v>
      </c>
      <c r="D32" t="s">
        <v>97</v>
      </c>
      <c r="I32" s="14">
        <f>SUM(J32:N32)</f>
        <v>8.25</v>
      </c>
      <c r="J32" s="14">
        <v>4.25</v>
      </c>
      <c r="K32" s="14">
        <v>4</v>
      </c>
      <c r="L32" s="14"/>
      <c r="M32" s="14"/>
      <c r="N32" s="14"/>
    </row>
    <row r="33" spans="1:14" x14ac:dyDescent="0.25">
      <c r="B33" t="s">
        <v>25</v>
      </c>
      <c r="I33" s="14">
        <f>SUM(J33:N33)</f>
        <v>0</v>
      </c>
      <c r="J33" s="14"/>
      <c r="K33" s="14"/>
      <c r="L33" s="14"/>
      <c r="M33" s="14"/>
      <c r="N33" s="14"/>
    </row>
    <row r="34" spans="1:14" x14ac:dyDescent="0.25">
      <c r="B34" t="s">
        <v>26</v>
      </c>
      <c r="I34" s="14">
        <f>SUM(J34:N34)</f>
        <v>0</v>
      </c>
      <c r="J34" s="14"/>
      <c r="K34" s="14"/>
      <c r="L34" s="14"/>
      <c r="M34" s="14"/>
      <c r="N34" s="14"/>
    </row>
    <row r="36" spans="1:14" ht="15.75" thickBot="1" x14ac:dyDescent="0.3">
      <c r="A36" s="13" t="s">
        <v>27</v>
      </c>
      <c r="B36" s="9"/>
      <c r="C36" s="9"/>
      <c r="D36" s="9"/>
      <c r="E36" s="9"/>
      <c r="F36" s="9"/>
      <c r="G36" s="9"/>
      <c r="H36" s="9"/>
      <c r="I36" s="15">
        <f>SUM(I30:I35)</f>
        <v>8.25</v>
      </c>
      <c r="J36" s="15">
        <f>SUM(J30:J35)</f>
        <v>4.25</v>
      </c>
      <c r="K36" s="15">
        <f t="shared" ref="K36:N36" si="3">SUM(K30:K35)</f>
        <v>4</v>
      </c>
      <c r="L36" s="15">
        <f t="shared" si="3"/>
        <v>0</v>
      </c>
      <c r="M36" s="15">
        <f t="shared" si="3"/>
        <v>0</v>
      </c>
      <c r="N36" s="15">
        <f t="shared" si="3"/>
        <v>0</v>
      </c>
    </row>
    <row r="37" spans="1:14" ht="15.75" thickTop="1" x14ac:dyDescent="0.25">
      <c r="I37" s="14"/>
      <c r="J37" s="14"/>
      <c r="K37" s="14"/>
      <c r="L37" s="14"/>
      <c r="M37" s="14"/>
      <c r="N37" s="14"/>
    </row>
    <row r="38" spans="1:14" ht="15.75" thickBot="1" x14ac:dyDescent="0.3">
      <c r="A38" s="13" t="s">
        <v>28</v>
      </c>
      <c r="B38" s="9"/>
      <c r="C38" s="9"/>
      <c r="D38" s="9"/>
      <c r="E38" s="9"/>
      <c r="F38" s="9"/>
      <c r="G38" s="9"/>
      <c r="H38" s="9"/>
      <c r="I38" s="15">
        <f>+I36+I27</f>
        <v>80</v>
      </c>
      <c r="J38" s="15">
        <f t="shared" ref="J38:N38" si="4">+J36+J27</f>
        <v>40</v>
      </c>
      <c r="K38" s="15">
        <f t="shared" si="4"/>
        <v>40</v>
      </c>
      <c r="L38" s="15">
        <f t="shared" si="4"/>
        <v>0</v>
      </c>
      <c r="M38" s="15">
        <f t="shared" si="4"/>
        <v>0</v>
      </c>
      <c r="N38" s="15">
        <f t="shared" si="4"/>
        <v>0</v>
      </c>
    </row>
    <row r="39" spans="1:14" ht="15.75" thickTop="1" x14ac:dyDescent="0.25"/>
    <row r="41" spans="1:14" ht="15.75" thickBot="1" x14ac:dyDescent="0.3">
      <c r="A41" s="13" t="s">
        <v>29</v>
      </c>
      <c r="B41" s="9"/>
      <c r="C41" s="9"/>
      <c r="D41" s="9"/>
      <c r="E41" s="9"/>
      <c r="F41" s="9"/>
      <c r="G41" s="9"/>
      <c r="H41" s="9"/>
      <c r="I41" s="15"/>
      <c r="J41" s="15">
        <v>40</v>
      </c>
      <c r="K41" s="15">
        <v>40</v>
      </c>
      <c r="L41" s="15">
        <v>40</v>
      </c>
      <c r="M41" s="15">
        <v>40</v>
      </c>
      <c r="N41" s="15"/>
    </row>
    <row r="42" spans="1:14" ht="16.5" thickTop="1" thickBot="1" x14ac:dyDescent="0.3">
      <c r="A42" s="13" t="s">
        <v>30</v>
      </c>
      <c r="B42" s="9"/>
      <c r="C42" s="9"/>
      <c r="D42" s="9"/>
      <c r="E42" s="9"/>
      <c r="F42" s="9"/>
      <c r="G42" s="9"/>
      <c r="H42" s="9"/>
      <c r="I42" s="15"/>
      <c r="J42" s="15">
        <f>+J41-J38</f>
        <v>0</v>
      </c>
      <c r="K42" s="15">
        <f t="shared" ref="K42:M42" si="5">+K41-K38</f>
        <v>0</v>
      </c>
      <c r="L42" s="15">
        <f t="shared" si="5"/>
        <v>40</v>
      </c>
      <c r="M42" s="15">
        <f t="shared" si="5"/>
        <v>40</v>
      </c>
      <c r="N42" s="15">
        <f t="shared" ref="N42" si="6">+N41-N38</f>
        <v>0</v>
      </c>
    </row>
    <row r="43" spans="1:14" ht="15.75" thickTop="1" x14ac:dyDescent="0.25"/>
  </sheetData>
  <protectedRanges>
    <protectedRange sqref="B26:C26 A8:I8 E26:XFD26 A30:XFD35 F9:I15 J8:XFD15 C9:C25 F16:XFD25 A9:A26" name="Range1"/>
    <protectedRange sqref="B9:B25" name="Range1_1"/>
    <protectedRange sqref="D9:D26" name="Range1_2"/>
    <protectedRange sqref="E9:E25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H9:H26</xm:sqref>
        </x14:dataValidation>
        <x14:dataValidation type="list" allowBlank="1" showInputMessage="1" showErrorMessage="1" xr:uid="{B3593689-9E01-4298-B008-351C49C0C35E}">
          <x14:formula1>
            <xm:f>Status!$B$3:$B$11</xm:f>
          </x14:formula1>
          <xm:sqref>D9:D26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/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40</v>
      </c>
      <c r="C2" s="23" t="s">
        <v>45</v>
      </c>
    </row>
    <row r="3" spans="2:3" x14ac:dyDescent="0.25">
      <c r="B3" s="20" t="s">
        <v>41</v>
      </c>
      <c r="C3" s="21" t="s">
        <v>46</v>
      </c>
    </row>
    <row r="4" spans="2:3" x14ac:dyDescent="0.25">
      <c r="B4" s="20" t="s">
        <v>47</v>
      </c>
      <c r="C4" s="21" t="s">
        <v>48</v>
      </c>
    </row>
    <row r="5" spans="2:3" x14ac:dyDescent="0.25">
      <c r="B5" s="20" t="s">
        <v>49</v>
      </c>
      <c r="C5" s="21" t="s">
        <v>50</v>
      </c>
    </row>
    <row r="6" spans="2:3" x14ac:dyDescent="0.25">
      <c r="B6" s="20" t="s">
        <v>42</v>
      </c>
      <c r="C6" s="21" t="s">
        <v>51</v>
      </c>
    </row>
    <row r="7" spans="2:3" x14ac:dyDescent="0.25">
      <c r="B7" s="20" t="s">
        <v>52</v>
      </c>
      <c r="C7" s="21" t="s">
        <v>53</v>
      </c>
    </row>
    <row r="8" spans="2:3" x14ac:dyDescent="0.25">
      <c r="B8" s="20" t="s">
        <v>43</v>
      </c>
      <c r="C8" s="21" t="s">
        <v>54</v>
      </c>
    </row>
    <row r="9" spans="2:3" x14ac:dyDescent="0.25">
      <c r="B9" s="20" t="s">
        <v>44</v>
      </c>
      <c r="C9" s="21" t="s">
        <v>55</v>
      </c>
    </row>
    <row r="10" spans="2:3" x14ac:dyDescent="0.25">
      <c r="B10" s="20" t="s">
        <v>56</v>
      </c>
      <c r="C10" s="21" t="s">
        <v>57</v>
      </c>
    </row>
    <row r="11" spans="2:3" x14ac:dyDescent="0.25">
      <c r="B11" s="20" t="s">
        <v>73</v>
      </c>
      <c r="C11" s="21" t="s">
        <v>74</v>
      </c>
    </row>
    <row r="14" spans="2:3" ht="16.5" x14ac:dyDescent="0.25">
      <c r="B14" s="23" t="s">
        <v>58</v>
      </c>
      <c r="C14" s="23" t="s">
        <v>45</v>
      </c>
    </row>
    <row r="15" spans="2:3" x14ac:dyDescent="0.25">
      <c r="B15" s="22" t="s">
        <v>31</v>
      </c>
      <c r="C15" s="21" t="s">
        <v>59</v>
      </c>
    </row>
    <row r="16" spans="2:3" x14ac:dyDescent="0.25">
      <c r="B16" s="22" t="s">
        <v>60</v>
      </c>
      <c r="C16" s="21" t="s">
        <v>61</v>
      </c>
    </row>
    <row r="17" spans="2:3" x14ac:dyDescent="0.25">
      <c r="B17" s="22" t="s">
        <v>39</v>
      </c>
      <c r="C17" s="21" t="s">
        <v>62</v>
      </c>
    </row>
    <row r="18" spans="2:3" x14ac:dyDescent="0.25">
      <c r="B18" s="22" t="s">
        <v>19</v>
      </c>
      <c r="C18" s="21" t="s">
        <v>63</v>
      </c>
    </row>
    <row r="19" spans="2:3" x14ac:dyDescent="0.25">
      <c r="B19" s="22" t="s">
        <v>32</v>
      </c>
      <c r="C19" s="21" t="s">
        <v>64</v>
      </c>
    </row>
    <row r="20" spans="2:3" x14ac:dyDescent="0.25">
      <c r="B20" s="22" t="s">
        <v>33</v>
      </c>
      <c r="C20" s="21" t="s">
        <v>65</v>
      </c>
    </row>
    <row r="21" spans="2:3" x14ac:dyDescent="0.25">
      <c r="B21" s="22" t="s">
        <v>66</v>
      </c>
      <c r="C21" s="21" t="s">
        <v>67</v>
      </c>
    </row>
    <row r="22" spans="2:3" x14ac:dyDescent="0.25">
      <c r="B22" s="22" t="s">
        <v>38</v>
      </c>
      <c r="C22" s="21" t="s">
        <v>68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/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34</v>
      </c>
    </row>
    <row r="2" spans="1:1" s="17" customFormat="1" ht="15.75" x14ac:dyDescent="0.25">
      <c r="A2" s="18"/>
    </row>
    <row r="3" spans="1:1" s="17" customFormat="1" ht="15.75" x14ac:dyDescent="0.25">
      <c r="A3" s="16" t="s">
        <v>71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35</v>
      </c>
    </row>
    <row r="8" spans="1:1" ht="15.75" x14ac:dyDescent="0.25">
      <c r="A8" s="16" t="s">
        <v>72</v>
      </c>
    </row>
    <row r="9" spans="1:1" ht="15.75" x14ac:dyDescent="0.25">
      <c r="A9" s="16" t="s">
        <v>70</v>
      </c>
    </row>
    <row r="10" spans="1:1" ht="15.75" x14ac:dyDescent="0.25">
      <c r="A10" s="16" t="s">
        <v>36</v>
      </c>
    </row>
    <row r="11" spans="1:1" ht="15.75" x14ac:dyDescent="0.25">
      <c r="A11" s="16" t="s">
        <v>37</v>
      </c>
    </row>
    <row r="12" spans="1:1" ht="15.75" x14ac:dyDescent="0.25">
      <c r="A12" s="16" t="s">
        <v>69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Sandip Kori</cp:lastModifiedBy>
  <cp:revision/>
  <dcterms:created xsi:type="dcterms:W3CDTF">2015-06-05T18:17:20Z</dcterms:created>
  <dcterms:modified xsi:type="dcterms:W3CDTF">2026-05-01T06:27:23Z</dcterms:modified>
  <cp:category/>
  <cp:contentStatus/>
</cp:coreProperties>
</file>