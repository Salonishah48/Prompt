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Anant Suthar\"/>
    </mc:Choice>
  </mc:AlternateContent>
  <xr:revisionPtr revIDLastSave="0" documentId="13_ncr:1_{731D8C84-F7C0-498C-A1E7-66CBCA6DC8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WIP!$A$7:$N$37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I34" i="1"/>
  <c r="K37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 s="1"/>
  <c r="A30" i="1" s="1"/>
  <c r="A31" i="1" s="1"/>
  <c r="A32" i="1" s="1"/>
  <c r="A33" i="1" s="1"/>
  <c r="A34" i="1" s="1"/>
  <c r="A35" i="1" s="1"/>
  <c r="I33" i="1"/>
  <c r="I32" i="1"/>
  <c r="I31" i="1"/>
  <c r="I30" i="1"/>
  <c r="I29" i="1"/>
  <c r="I28" i="1"/>
  <c r="I27" i="1"/>
  <c r="I26" i="1"/>
  <c r="I9" i="1"/>
  <c r="I10" i="1"/>
  <c r="I11" i="1"/>
  <c r="I12" i="1"/>
  <c r="I13" i="1"/>
  <c r="I14" i="1"/>
  <c r="I15" i="1"/>
  <c r="I20" i="1"/>
  <c r="I19" i="1"/>
  <c r="I18" i="1"/>
  <c r="I17" i="1"/>
  <c r="I16" i="1"/>
  <c r="I22" i="1"/>
  <c r="I23" i="1"/>
  <c r="I24" i="1"/>
  <c r="I25" i="1"/>
  <c r="I21" i="1"/>
  <c r="J37" i="1"/>
  <c r="L37" i="1"/>
  <c r="M37" i="1"/>
  <c r="N37" i="1"/>
  <c r="N46" i="1"/>
  <c r="N48" i="1" s="1"/>
  <c r="N52" i="1" s="1"/>
  <c r="K6" i="1"/>
  <c r="L6" i="1" s="1"/>
  <c r="M6" i="1" s="1"/>
  <c r="N6" i="1" s="1"/>
  <c r="L46" i="1"/>
  <c r="M46" i="1"/>
  <c r="I40" i="1"/>
  <c r="I41" i="1"/>
  <c r="I42" i="1"/>
  <c r="I43" i="1"/>
  <c r="K46" i="1"/>
  <c r="J46" i="1"/>
  <c r="M48" i="1"/>
  <c r="M52" i="1" s="1"/>
  <c r="K48" i="1"/>
  <c r="K52" i="1" s="1"/>
  <c r="I46" i="1"/>
  <c r="L48" i="1"/>
  <c r="L52" i="1"/>
  <c r="J48" i="1"/>
  <c r="J52" i="1"/>
  <c r="I37" i="1"/>
  <c r="I48" i="1" s="1"/>
</calcChain>
</file>

<file path=xl/sharedStrings.xml><?xml version="1.0" encoding="utf-8"?>
<sst xmlns="http://schemas.openxmlformats.org/spreadsheetml/2006/main" count="188" uniqueCount="105">
  <si>
    <t>Work in Progress Report</t>
  </si>
  <si>
    <t xml:space="preserve">Name: </t>
  </si>
  <si>
    <t>Manthan Chuhan</t>
  </si>
  <si>
    <t>Title:</t>
  </si>
  <si>
    <t>Staff</t>
  </si>
  <si>
    <t>Manager Name:</t>
  </si>
  <si>
    <t>Week starting on --&gt;&gt;</t>
  </si>
  <si>
    <t>Sr #</t>
  </si>
  <si>
    <t>Client Name</t>
  </si>
  <si>
    <t>Project (sub-client)</t>
  </si>
  <si>
    <t>Work</t>
  </si>
  <si>
    <t>Date in</t>
  </si>
  <si>
    <t>Status</t>
  </si>
  <si>
    <t>Hours of work</t>
  </si>
  <si>
    <t>Week 1</t>
  </si>
  <si>
    <t>Week 2</t>
  </si>
  <si>
    <t>Week 3</t>
  </si>
  <si>
    <t>Week 4</t>
  </si>
  <si>
    <t>Billable Hours</t>
  </si>
  <si>
    <t>Not Started</t>
  </si>
  <si>
    <t>Admin</t>
  </si>
  <si>
    <t>Roshanak Nasr O.D. A Professional Corporation</t>
  </si>
  <si>
    <t>Total of Billable hours</t>
  </si>
  <si>
    <t>Non Billable hours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</si>
  <si>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</si>
  <si>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</si>
  <si>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</si>
  <si>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</si>
  <si>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</si>
  <si>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</si>
  <si>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</si>
  <si>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</si>
  <si>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In Preparation</t>
  </si>
  <si>
    <t>In Review</t>
  </si>
  <si>
    <t>Points to be considered while updating the tracker</t>
  </si>
  <si>
    <t>Weeks should start from column "J" - Don't change sequence.</t>
  </si>
  <si>
    <t>Always use Sr. no. when inputting data (If there is no data, don't write sr. no).</t>
  </si>
  <si>
    <t>Select work done from the drop-down list only - Don't write manually</t>
  </si>
  <si>
    <t>Don't leave any row blank in between (if require you can add a row in between)</t>
  </si>
  <si>
    <t>Don’t add or delete any column</t>
  </si>
  <si>
    <t>Work Item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</si>
  <si>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</si>
  <si>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</si>
  <si>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</si>
  <si>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</si>
  <si>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</si>
  <si>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</si>
  <si>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</si>
  <si>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Bookkeeping Management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</si>
  <si>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</si>
  <si>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</si>
  <si>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</si>
  <si>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</si>
  <si>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</si>
  <si>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</si>
  <si>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</si>
  <si>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</si>
  <si>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</si>
  <si>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</si>
  <si>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Call, Internal Discussions, Client Emails, Document Upload, Workflow updates Etc.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</si>
  <si>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</si>
  <si>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</si>
  <si>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</si>
  <si>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</si>
  <si>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</si>
  <si>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</si>
  <si>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</si>
  <si>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</si>
  <si>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</si>
  <si>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</si>
  <si>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</si>
  <si>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</si>
  <si>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</si>
  <si>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</si>
  <si>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Anantkumar Suthar</t>
  </si>
  <si>
    <t>Advanced Accounting &amp; Tax Solutions</t>
  </si>
  <si>
    <t>Week 5</t>
  </si>
  <si>
    <t>Internal due Date</t>
  </si>
  <si>
    <t>Completion date</t>
  </si>
  <si>
    <t>Admin - Weekly Call</t>
  </si>
  <si>
    <t>Keywest Truck Collision Center, Inc</t>
  </si>
  <si>
    <t>Keywest Auto Collision Center, Inc</t>
  </si>
  <si>
    <t>Reliable Recycling Inc</t>
  </si>
  <si>
    <t>Admin - Comments in Canopy</t>
  </si>
  <si>
    <t>Beyond Steel Inc</t>
  </si>
  <si>
    <t>AJM Hearing Services</t>
  </si>
  <si>
    <t>Zacatecas Imports Inc</t>
  </si>
  <si>
    <t>G &amp; A Finewoodworking</t>
  </si>
  <si>
    <t>Admin- Timesheet Management</t>
  </si>
  <si>
    <t>Chello's Restaurant</t>
  </si>
  <si>
    <t>PHB Services Corporation</t>
  </si>
  <si>
    <t>Rabesa Mexican Products Corporation</t>
  </si>
  <si>
    <t>Camfel Productions Inc</t>
  </si>
  <si>
    <t>Dream Digital LLC</t>
  </si>
  <si>
    <t>Precise Restoration LLC</t>
  </si>
  <si>
    <t>Doctor Linda HSU A PC</t>
  </si>
  <si>
    <t>Roxford Transport Inc</t>
  </si>
  <si>
    <t>Pizzamania - Janneth Enterprise Inc</t>
  </si>
  <si>
    <t>Happy Camper Heating and Air</t>
  </si>
  <si>
    <t>La Michoacana Premium de New Hall</t>
  </si>
  <si>
    <t>Glass LA Design Inc</t>
  </si>
  <si>
    <t>Marco Construction</t>
  </si>
  <si>
    <t>Simply Me Skin Care LLC</t>
  </si>
  <si>
    <t>MG Legacy International LLC</t>
  </si>
  <si>
    <t>Simply Me Med Spa, A Medical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</si>
</sst>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1"/>
      <color rgb="FF000000"/>
      <name val="Calibri"/>
      <family val="2"/>
    </font>
    <font>
      <b/>
      <sz val="11"/>
      <color theme="1"/>
      <name val="Segoe U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14" fontId="0" fillId="3" borderId="0" xfId="0" applyNumberFormat="1" applyFill="1"/>
    <xf numFmtId="0" fontId="0" fillId="4" borderId="0" xfId="0" applyFill="1"/>
    <xf numFmtId="0" fontId="2" fillId="0" borderId="0" xfId="0" applyFont="1"/>
    <xf numFmtId="43" fontId="1" fillId="0" borderId="0" xfId="1" applyFont="1"/>
    <xf numFmtId="0" fontId="0" fillId="5" borderId="0" xfId="0" applyFill="1"/>
    <xf numFmtId="0" fontId="1" fillId="4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1" fillId="0" borderId="3" xfId="0" applyFont="1" applyBorder="1"/>
    <xf numFmtId="0" fontId="0" fillId="0" borderId="3" xfId="0" applyBorder="1"/>
    <xf numFmtId="0" fontId="8" fillId="0" borderId="3" xfId="0" applyFont="1" applyBorder="1"/>
    <xf numFmtId="0" fontId="1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C10" sqref="C10"/>
    </sheetView>
  </sheetViews>
  <sheetFormatPr defaultRowHeight="15" x14ac:dyDescent="0.25"/>
  <cols>
    <col min="1" max="1" width="22.42578125" customWidth="1"/>
    <col min="2" max="2" width="34.85546875" bestFit="1" customWidth="1"/>
    <col min="3" max="3" width="44.5703125" customWidth="1"/>
    <col min="4" max="4" width="26.42578125" customWidth="1"/>
    <col min="5" max="7" width="11.710937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  <col min="14" max="14" width="11.42578125" bestFit="1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2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3</v>
      </c>
      <c r="B3" s="10" t="s">
        <v>4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5</v>
      </c>
      <c r="B4" s="10" t="s">
        <v>74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7" t="s">
        <v>6</v>
      </c>
      <c r="J6" s="8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>
        <f>M6+7</f>
        <v>46174</v>
      </c>
    </row>
    <row r="7" spans="1:14" ht="30" x14ac:dyDescent="0.2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77</v>
      </c>
      <c r="G7" s="3" t="s">
        <v>78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76</v>
      </c>
    </row>
    <row r="8" spans="1:14" x14ac:dyDescent="0.25">
      <c r="A8" s="6" t="s">
        <v>18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</row>
    <row r="9" spans="1:14" x14ac:dyDescent="0.25">
      <c r="A9">
        <v>1</v>
      </c>
      <c r="B9" t="s">
        <v>75</v>
      </c>
      <c r="C9" s="26" t="s">
        <v>80</v>
      </c>
      <c r="D9" t="s">
        <v>48</v>
      </c>
      <c r="E9" s="2">
        <v>46146</v>
      </c>
      <c r="F9" s="2"/>
      <c r="G9" s="2"/>
      <c r="H9" t="s">
        <v>19</v>
      </c>
      <c r="I9" s="14">
        <f t="shared" ref="I9:I35" si="0">SUM(J9:N9)</f>
        <v>5</v>
      </c>
      <c r="J9" s="14">
        <v>5</v>
      </c>
      <c r="L9" s="14"/>
      <c r="M9" s="14"/>
    </row>
    <row r="10" spans="1:14" x14ac:dyDescent="0.25">
      <c r="A10">
        <f>A9+1</f>
        <v>2</v>
      </c>
      <c r="B10" t="s">
        <v>75</v>
      </c>
      <c r="C10" s="26" t="s">
        <v>82</v>
      </c>
      <c r="D10" t="s">
        <v>48</v>
      </c>
      <c r="E10" s="2">
        <v>46146</v>
      </c>
      <c r="F10" s="2"/>
      <c r="G10" s="2"/>
      <c r="H10" t="s">
        <v>19</v>
      </c>
      <c r="I10" s="14">
        <f t="shared" si="0"/>
        <v>3</v>
      </c>
      <c r="J10" s="14">
        <v>3</v>
      </c>
      <c r="L10" s="14"/>
      <c r="M10" s="14"/>
    </row>
    <row r="11" spans="1:14" x14ac:dyDescent="0.25">
      <c r="A11">
        <f t="shared" ref="A11:A35" si="1">A10+1</f>
        <v>3</v>
      </c>
      <c r="B11" t="s">
        <v>75</v>
      </c>
      <c r="C11" s="26" t="s">
        <v>81</v>
      </c>
      <c r="D11" t="s">
        <v>48</v>
      </c>
      <c r="E11" s="2">
        <v>46147</v>
      </c>
      <c r="F11" s="2"/>
      <c r="G11" s="2"/>
      <c r="H11" t="s">
        <v>19</v>
      </c>
      <c r="I11" s="14">
        <f t="shared" si="0"/>
        <v>6</v>
      </c>
      <c r="J11" s="14">
        <v>6</v>
      </c>
      <c r="L11" s="14"/>
      <c r="M11" s="14"/>
    </row>
    <row r="12" spans="1:14" x14ac:dyDescent="0.25">
      <c r="A12">
        <f t="shared" si="1"/>
        <v>4</v>
      </c>
      <c r="B12" t="s">
        <v>75</v>
      </c>
      <c r="C12" s="25" t="s">
        <v>79</v>
      </c>
      <c r="D12" t="s">
        <v>58</v>
      </c>
      <c r="E12" s="2">
        <v>46147</v>
      </c>
      <c r="F12" s="2"/>
      <c r="G12" s="2"/>
      <c r="H12" t="s">
        <v>19</v>
      </c>
      <c r="I12" s="14">
        <f t="shared" si="0"/>
        <v>1</v>
      </c>
      <c r="J12" s="14">
        <v>1</v>
      </c>
      <c r="L12" s="14"/>
      <c r="M12" s="14"/>
    </row>
    <row r="13" spans="1:14" x14ac:dyDescent="0.25">
      <c r="A13">
        <f t="shared" si="1"/>
        <v>5</v>
      </c>
      <c r="B13" t="s">
        <v>75</v>
      </c>
      <c r="C13" s="25" t="s">
        <v>83</v>
      </c>
      <c r="D13" t="s">
        <v>58</v>
      </c>
      <c r="E13" s="2">
        <v>46147</v>
      </c>
      <c r="F13" s="2"/>
      <c r="G13" s="2"/>
      <c r="H13" t="s">
        <v>19</v>
      </c>
      <c r="I13" s="14">
        <f t="shared" si="0"/>
        <v>1</v>
      </c>
      <c r="J13" s="14">
        <v>1</v>
      </c>
      <c r="L13" s="14"/>
      <c r="M13" s="14"/>
    </row>
    <row r="14" spans="1:14" x14ac:dyDescent="0.25">
      <c r="A14">
        <f t="shared" si="1"/>
        <v>6</v>
      </c>
      <c r="B14" t="s">
        <v>75</v>
      </c>
      <c r="C14" s="25" t="s">
        <v>84</v>
      </c>
      <c r="D14" t="s">
        <v>48</v>
      </c>
      <c r="E14" s="2">
        <v>46148</v>
      </c>
      <c r="F14" s="2"/>
      <c r="G14" s="2"/>
      <c r="H14" t="s">
        <v>19</v>
      </c>
      <c r="I14" s="14">
        <f t="shared" si="0"/>
        <v>5</v>
      </c>
      <c r="J14" s="14">
        <v>5</v>
      </c>
      <c r="L14" s="14"/>
      <c r="M14" s="14"/>
    </row>
    <row r="15" spans="1:14" x14ac:dyDescent="0.25">
      <c r="A15">
        <f t="shared" si="1"/>
        <v>7</v>
      </c>
      <c r="B15" t="s">
        <v>75</v>
      </c>
      <c r="C15" s="25" t="s">
        <v>85</v>
      </c>
      <c r="D15" t="s">
        <v>48</v>
      </c>
      <c r="E15" s="2">
        <v>46148</v>
      </c>
      <c r="F15" s="2"/>
      <c r="G15" s="2"/>
      <c r="H15" t="s">
        <v>19</v>
      </c>
      <c r="I15" s="14">
        <f t="shared" si="0"/>
        <v>3</v>
      </c>
      <c r="J15" s="14">
        <v>3</v>
      </c>
      <c r="L15" s="14"/>
      <c r="M15" s="14"/>
    </row>
    <row r="16" spans="1:14" x14ac:dyDescent="0.25">
      <c r="A16">
        <f t="shared" si="1"/>
        <v>8</v>
      </c>
      <c r="B16" t="s">
        <v>75</v>
      </c>
      <c r="C16" s="25" t="s">
        <v>86</v>
      </c>
      <c r="D16" t="s">
        <v>48</v>
      </c>
      <c r="E16" s="2">
        <v>46149</v>
      </c>
      <c r="F16" s="2"/>
      <c r="G16" s="2"/>
      <c r="H16" t="s">
        <v>19</v>
      </c>
      <c r="I16" s="14">
        <f t="shared" si="0"/>
        <v>5.5</v>
      </c>
      <c r="J16" s="14">
        <v>5.5</v>
      </c>
      <c r="L16" s="14"/>
      <c r="M16" s="14"/>
    </row>
    <row r="17" spans="1:13" x14ac:dyDescent="0.25">
      <c r="A17">
        <f t="shared" si="1"/>
        <v>9</v>
      </c>
      <c r="B17" t="s">
        <v>75</v>
      </c>
      <c r="C17" s="25" t="s">
        <v>87</v>
      </c>
      <c r="D17" t="s">
        <v>48</v>
      </c>
      <c r="E17" s="2">
        <v>46149</v>
      </c>
      <c r="F17" s="2"/>
      <c r="G17" s="2"/>
      <c r="H17" t="s">
        <v>19</v>
      </c>
      <c r="I17" s="14">
        <f t="shared" si="0"/>
        <v>2.5</v>
      </c>
      <c r="J17" s="14">
        <v>2.5</v>
      </c>
      <c r="L17" s="14"/>
      <c r="M17" s="14"/>
    </row>
    <row r="18" spans="1:13" x14ac:dyDescent="0.25">
      <c r="A18">
        <f t="shared" si="1"/>
        <v>10</v>
      </c>
      <c r="B18" t="s">
        <v>75</v>
      </c>
      <c r="C18" s="25" t="s">
        <v>21</v>
      </c>
      <c r="D18" t="s">
        <v>48</v>
      </c>
      <c r="E18" s="2">
        <v>46150</v>
      </c>
      <c r="F18" s="2"/>
      <c r="G18" s="2"/>
      <c r="H18" t="s">
        <v>19</v>
      </c>
      <c r="I18" s="14">
        <f t="shared" si="0"/>
        <v>5.5</v>
      </c>
      <c r="J18" s="14">
        <v>5.5</v>
      </c>
      <c r="L18" s="14"/>
      <c r="M18" s="14"/>
    </row>
    <row r="19" spans="1:13" x14ac:dyDescent="0.25">
      <c r="A19">
        <f t="shared" si="1"/>
        <v>11</v>
      </c>
      <c r="B19" t="s">
        <v>75</v>
      </c>
      <c r="C19" s="25" t="s">
        <v>89</v>
      </c>
      <c r="D19" t="s">
        <v>48</v>
      </c>
      <c r="E19" s="2">
        <v>46150</v>
      </c>
      <c r="F19" s="2"/>
      <c r="G19" s="2"/>
      <c r="H19" t="s">
        <v>19</v>
      </c>
      <c r="I19" s="14">
        <f t="shared" si="0"/>
        <v>2.5</v>
      </c>
      <c r="J19" s="14">
        <v>2.5</v>
      </c>
      <c r="L19" s="14"/>
      <c r="M19" s="14"/>
    </row>
    <row r="20" spans="1:13" x14ac:dyDescent="0.25">
      <c r="A20">
        <f t="shared" si="1"/>
        <v>12</v>
      </c>
      <c r="B20" t="s">
        <v>75</v>
      </c>
      <c r="C20" s="26" t="s">
        <v>90</v>
      </c>
      <c r="D20" t="s">
        <v>48</v>
      </c>
      <c r="E20" s="2">
        <v>46153</v>
      </c>
      <c r="H20" t="s">
        <v>19</v>
      </c>
      <c r="I20" s="14">
        <f t="shared" si="0"/>
        <v>2.5</v>
      </c>
      <c r="J20" s="14"/>
      <c r="K20">
        <v>2.5</v>
      </c>
      <c r="L20" s="14"/>
      <c r="M20" s="14"/>
    </row>
    <row r="21" spans="1:13" x14ac:dyDescent="0.25">
      <c r="A21">
        <f t="shared" si="1"/>
        <v>13</v>
      </c>
      <c r="B21" t="s">
        <v>75</v>
      </c>
      <c r="C21" s="26" t="s">
        <v>91</v>
      </c>
      <c r="D21" t="s">
        <v>48</v>
      </c>
      <c r="E21" s="2">
        <v>46153</v>
      </c>
      <c r="H21" t="s">
        <v>19</v>
      </c>
      <c r="I21" s="14">
        <f t="shared" si="0"/>
        <v>3.5</v>
      </c>
      <c r="J21" s="14"/>
      <c r="K21">
        <v>3.5</v>
      </c>
      <c r="L21" s="14"/>
      <c r="M21" s="14"/>
    </row>
    <row r="22" spans="1:13" x14ac:dyDescent="0.25">
      <c r="A22">
        <f t="shared" si="1"/>
        <v>14</v>
      </c>
      <c r="B22" t="s">
        <v>75</v>
      </c>
      <c r="C22" s="26" t="s">
        <v>92</v>
      </c>
      <c r="D22" t="s">
        <v>48</v>
      </c>
      <c r="E22" s="2">
        <v>46153</v>
      </c>
      <c r="H22" t="s">
        <v>19</v>
      </c>
      <c r="I22" s="14">
        <f t="shared" si="0"/>
        <v>2</v>
      </c>
      <c r="J22" s="14"/>
      <c r="K22">
        <v>2</v>
      </c>
      <c r="L22" s="14"/>
      <c r="M22" s="14"/>
    </row>
    <row r="23" spans="1:13" x14ac:dyDescent="0.25">
      <c r="A23">
        <f t="shared" si="1"/>
        <v>15</v>
      </c>
      <c r="B23" t="s">
        <v>75</v>
      </c>
      <c r="C23" t="s">
        <v>93</v>
      </c>
      <c r="D23" t="s">
        <v>48</v>
      </c>
      <c r="E23" s="2">
        <v>46154</v>
      </c>
      <c r="H23" t="s">
        <v>19</v>
      </c>
      <c r="I23" s="14">
        <f t="shared" si="0"/>
        <v>2.5</v>
      </c>
      <c r="J23" s="14"/>
      <c r="K23">
        <v>2.5</v>
      </c>
      <c r="L23" s="14"/>
      <c r="M23" s="14"/>
    </row>
    <row r="24" spans="1:13" x14ac:dyDescent="0.25">
      <c r="A24">
        <f t="shared" si="1"/>
        <v>16</v>
      </c>
      <c r="B24" t="s">
        <v>75</v>
      </c>
      <c r="C24" t="s">
        <v>94</v>
      </c>
      <c r="D24" t="s">
        <v>48</v>
      </c>
      <c r="E24" s="2">
        <v>46154</v>
      </c>
      <c r="H24" t="s">
        <v>19</v>
      </c>
      <c r="I24" s="14">
        <f t="shared" si="0"/>
        <v>2</v>
      </c>
      <c r="J24" s="14"/>
      <c r="K24">
        <v>2</v>
      </c>
      <c r="L24" s="14"/>
      <c r="M24" s="14"/>
    </row>
    <row r="25" spans="1:13" x14ac:dyDescent="0.25">
      <c r="A25">
        <f t="shared" si="1"/>
        <v>17</v>
      </c>
      <c r="B25" t="s">
        <v>75</v>
      </c>
      <c r="C25" t="s">
        <v>95</v>
      </c>
      <c r="D25" t="s">
        <v>48</v>
      </c>
      <c r="E25" s="2">
        <v>46154</v>
      </c>
      <c r="H25" t="s">
        <v>19</v>
      </c>
      <c r="I25" s="14">
        <f t="shared" si="0"/>
        <v>2.5</v>
      </c>
      <c r="J25" s="14"/>
      <c r="K25">
        <v>2.5</v>
      </c>
      <c r="L25" s="14"/>
      <c r="M25" s="14"/>
    </row>
    <row r="26" spans="1:13" x14ac:dyDescent="0.25">
      <c r="A26">
        <f t="shared" si="1"/>
        <v>18</v>
      </c>
      <c r="B26" t="s">
        <v>75</v>
      </c>
      <c r="C26" s="25" t="s">
        <v>79</v>
      </c>
      <c r="D26" t="s">
        <v>58</v>
      </c>
      <c r="E26" s="2">
        <v>46154</v>
      </c>
      <c r="H26" t="s">
        <v>19</v>
      </c>
      <c r="I26" s="14">
        <f t="shared" si="0"/>
        <v>1</v>
      </c>
      <c r="J26" s="14"/>
      <c r="K26">
        <v>1</v>
      </c>
      <c r="L26" s="14"/>
      <c r="M26" s="14"/>
    </row>
    <row r="27" spans="1:13" x14ac:dyDescent="0.25">
      <c r="A27">
        <f t="shared" si="1"/>
        <v>19</v>
      </c>
      <c r="B27" t="s">
        <v>75</v>
      </c>
      <c r="C27" t="s">
        <v>96</v>
      </c>
      <c r="D27" t="s">
        <v>48</v>
      </c>
      <c r="E27" s="2">
        <v>46155</v>
      </c>
      <c r="H27" t="s">
        <v>19</v>
      </c>
      <c r="I27" s="14">
        <f t="shared" si="0"/>
        <v>1.5</v>
      </c>
      <c r="J27" s="14"/>
      <c r="K27">
        <v>1.5</v>
      </c>
      <c r="L27" s="14"/>
      <c r="M27" s="14"/>
    </row>
    <row r="28" spans="1:13" x14ac:dyDescent="0.25">
      <c r="A28">
        <f t="shared" si="1"/>
        <v>20</v>
      </c>
      <c r="B28" t="s">
        <v>75</v>
      </c>
      <c r="C28" s="26" t="s">
        <v>97</v>
      </c>
      <c r="D28" t="s">
        <v>48</v>
      </c>
      <c r="E28" s="2">
        <v>46155</v>
      </c>
      <c r="H28" t="s">
        <v>19</v>
      </c>
      <c r="I28" s="14">
        <f t="shared" si="0"/>
        <v>1.5</v>
      </c>
      <c r="J28" s="14"/>
      <c r="K28">
        <v>1.5</v>
      </c>
      <c r="L28" s="14"/>
      <c r="M28" s="14"/>
    </row>
    <row r="29" spans="1:13" x14ac:dyDescent="0.25">
      <c r="A29">
        <f t="shared" si="1"/>
        <v>21</v>
      </c>
      <c r="B29" t="s">
        <v>75</v>
      </c>
      <c r="C29" s="26" t="s">
        <v>98</v>
      </c>
      <c r="D29" t="s">
        <v>48</v>
      </c>
      <c r="E29" s="2">
        <v>46155</v>
      </c>
      <c r="H29" t="s">
        <v>19</v>
      </c>
      <c r="I29" s="14">
        <f t="shared" si="0"/>
        <v>5</v>
      </c>
      <c r="J29" s="14"/>
      <c r="K29">
        <v>5</v>
      </c>
      <c r="L29" s="14"/>
      <c r="M29" s="14"/>
    </row>
    <row r="30" spans="1:13" x14ac:dyDescent="0.25">
      <c r="A30">
        <f t="shared" si="1"/>
        <v>22</v>
      </c>
      <c r="B30" t="s">
        <v>75</v>
      </c>
      <c r="C30" s="26" t="s">
        <v>99</v>
      </c>
      <c r="D30" t="s">
        <v>48</v>
      </c>
      <c r="E30" s="2">
        <v>46156</v>
      </c>
      <c r="H30" t="s">
        <v>19</v>
      </c>
      <c r="I30" s="14">
        <f t="shared" si="0"/>
        <v>2.5</v>
      </c>
      <c r="J30" s="14"/>
      <c r="K30">
        <v>2.5</v>
      </c>
      <c r="L30" s="14"/>
      <c r="M30" s="14"/>
    </row>
    <row r="31" spans="1:13" x14ac:dyDescent="0.25">
      <c r="A31">
        <f t="shared" si="1"/>
        <v>23</v>
      </c>
      <c r="B31" t="s">
        <v>75</v>
      </c>
      <c r="C31" s="26" t="s">
        <v>100</v>
      </c>
      <c r="D31" t="s">
        <v>48</v>
      </c>
      <c r="E31" s="2">
        <v>46156</v>
      </c>
      <c r="H31" t="s">
        <v>19</v>
      </c>
      <c r="I31" s="14">
        <f t="shared" si="0"/>
        <v>4</v>
      </c>
      <c r="J31" s="14"/>
      <c r="K31">
        <v>4</v>
      </c>
      <c r="L31" s="14"/>
      <c r="M31" s="14"/>
    </row>
    <row r="32" spans="1:13" x14ac:dyDescent="0.25">
      <c r="A32">
        <f t="shared" si="1"/>
        <v>24</v>
      </c>
      <c r="B32" t="s">
        <v>75</v>
      </c>
      <c r="C32" s="26" t="s">
        <v>101</v>
      </c>
      <c r="D32" t="s">
        <v>48</v>
      </c>
      <c r="E32" s="2">
        <v>46156</v>
      </c>
      <c r="H32" t="s">
        <v>19</v>
      </c>
      <c r="I32" s="14">
        <f t="shared" si="0"/>
        <v>1.5</v>
      </c>
      <c r="J32" s="14"/>
      <c r="K32">
        <v>1.5</v>
      </c>
      <c r="L32" s="14"/>
      <c r="M32" s="14"/>
    </row>
    <row r="33" spans="1:14" x14ac:dyDescent="0.25">
      <c r="A33">
        <f t="shared" si="1"/>
        <v>25</v>
      </c>
      <c r="B33" t="s">
        <v>75</v>
      </c>
      <c r="C33" s="26" t="s">
        <v>102</v>
      </c>
      <c r="D33" t="s">
        <v>48</v>
      </c>
      <c r="E33" s="2">
        <v>46157</v>
      </c>
      <c r="H33" t="s">
        <v>19</v>
      </c>
      <c r="I33" s="14">
        <f t="shared" si="0"/>
        <v>1.5</v>
      </c>
      <c r="J33" s="14"/>
      <c r="K33">
        <v>1.5</v>
      </c>
      <c r="L33" s="14"/>
      <c r="M33" s="14"/>
    </row>
    <row r="34" spans="1:14" x14ac:dyDescent="0.25">
      <c r="A34">
        <f t="shared" si="1"/>
        <v>26</v>
      </c>
      <c r="B34" t="s">
        <v>75</v>
      </c>
      <c r="C34" s="26" t="s">
        <v>103</v>
      </c>
      <c r="D34" t="s">
        <v>48</v>
      </c>
      <c r="E34" s="2">
        <v>46157</v>
      </c>
      <c r="H34" t="s">
        <v>19</v>
      </c>
      <c r="I34" s="14">
        <f t="shared" si="0"/>
        <v>5</v>
      </c>
      <c r="J34" s="14"/>
      <c r="K34">
        <v>5</v>
      </c>
      <c r="L34" s="14"/>
      <c r="M34" s="14"/>
    </row>
    <row r="35" spans="1:14" x14ac:dyDescent="0.25">
      <c r="A35">
        <f t="shared" si="1"/>
        <v>27</v>
      </c>
      <c r="B35" t="s">
        <v>75</v>
      </c>
      <c r="C35" t="s">
        <v>104</v>
      </c>
      <c r="D35" t="s">
        <v>48</v>
      </c>
      <c r="E35" s="2">
        <v>46157</v>
      </c>
      <c r="H35" t="s">
        <v>19</v>
      </c>
      <c r="I35" s="14">
        <f t="shared" si="0"/>
        <v>1.5</v>
      </c>
      <c r="J35" s="14"/>
      <c r="K35">
        <v>1.5</v>
      </c>
      <c r="L35" s="14"/>
      <c r="M35" s="14"/>
    </row>
    <row r="36" spans="1:14" x14ac:dyDescent="0.25">
      <c r="I36" s="14"/>
      <c r="J36" s="14"/>
      <c r="L36" s="14"/>
      <c r="M36" s="14"/>
    </row>
    <row r="37" spans="1:14" ht="15.75" thickBot="1" x14ac:dyDescent="0.3">
      <c r="A37" s="13" t="s">
        <v>22</v>
      </c>
      <c r="B37" s="9"/>
      <c r="C37" s="9"/>
      <c r="D37" s="9"/>
      <c r="E37" s="9"/>
      <c r="F37" s="9"/>
      <c r="G37" s="9"/>
      <c r="H37" s="9"/>
      <c r="I37" s="15">
        <f>SUM(I8:I36)</f>
        <v>80</v>
      </c>
      <c r="J37" s="15">
        <f>SUM(J8:J36)</f>
        <v>40</v>
      </c>
      <c r="K37" s="15">
        <f>SUM(K8:K35)</f>
        <v>40</v>
      </c>
      <c r="L37" s="15">
        <f>SUM(L8:L36)</f>
        <v>0</v>
      </c>
      <c r="M37" s="15">
        <f>SUM(M8:M36)</f>
        <v>0</v>
      </c>
      <c r="N37" s="15">
        <f>SUM(N8:N36)</f>
        <v>0</v>
      </c>
    </row>
    <row r="38" spans="1:14" ht="15.75" thickTop="1" x14ac:dyDescent="0.25">
      <c r="I38" s="14"/>
      <c r="J38" s="14"/>
      <c r="K38" s="14"/>
      <c r="L38" s="14"/>
      <c r="M38" s="14"/>
      <c r="N38" s="14"/>
    </row>
    <row r="39" spans="1:14" x14ac:dyDescent="0.25">
      <c r="A39" s="1" t="s">
        <v>23</v>
      </c>
      <c r="I39" s="14"/>
      <c r="J39" s="14"/>
      <c r="K39" s="14"/>
      <c r="L39" s="14"/>
      <c r="M39" s="14"/>
      <c r="N39" s="14"/>
    </row>
    <row r="40" spans="1:14" x14ac:dyDescent="0.25">
      <c r="A40">
        <v>1</v>
      </c>
      <c r="B40" t="s">
        <v>20</v>
      </c>
      <c r="C40" t="s">
        <v>88</v>
      </c>
      <c r="D40" t="s">
        <v>58</v>
      </c>
      <c r="I40" s="14">
        <f t="shared" ref="I40:I43" si="2">SUM(J40:N40)</f>
        <v>0</v>
      </c>
      <c r="J40" s="14"/>
      <c r="K40" s="14"/>
      <c r="L40" s="14"/>
      <c r="M40" s="14"/>
      <c r="N40" s="14"/>
    </row>
    <row r="41" spans="1:14" x14ac:dyDescent="0.25">
      <c r="A41">
        <v>2</v>
      </c>
      <c r="B41" t="s">
        <v>24</v>
      </c>
      <c r="I41" s="14">
        <f t="shared" si="2"/>
        <v>0</v>
      </c>
      <c r="J41" s="14"/>
      <c r="K41" s="14"/>
      <c r="L41" s="14"/>
      <c r="M41" s="14"/>
      <c r="N41" s="14"/>
    </row>
    <row r="42" spans="1:14" x14ac:dyDescent="0.25">
      <c r="A42">
        <v>3</v>
      </c>
      <c r="B42" t="s">
        <v>25</v>
      </c>
      <c r="I42" s="14">
        <f t="shared" si="2"/>
        <v>0</v>
      </c>
      <c r="J42" s="14"/>
      <c r="K42" s="14"/>
      <c r="L42" s="14"/>
      <c r="M42" s="14"/>
      <c r="N42" s="14"/>
    </row>
    <row r="43" spans="1:14" x14ac:dyDescent="0.25">
      <c r="A43">
        <v>4</v>
      </c>
      <c r="B43" t="s">
        <v>26</v>
      </c>
      <c r="I43" s="14">
        <f t="shared" si="2"/>
        <v>0</v>
      </c>
      <c r="J43" s="14"/>
      <c r="K43" s="14"/>
      <c r="L43" s="14"/>
      <c r="M43" s="14"/>
      <c r="N43" s="14"/>
    </row>
    <row r="44" spans="1:14" x14ac:dyDescent="0.25">
      <c r="A44">
        <v>5</v>
      </c>
      <c r="B44" t="s">
        <v>27</v>
      </c>
      <c r="I44" s="14"/>
      <c r="J44" s="14"/>
      <c r="K44" s="14"/>
      <c r="L44" s="14"/>
      <c r="M44" s="14"/>
      <c r="N44" s="14"/>
    </row>
    <row r="46" spans="1:14" ht="15.75" thickBot="1" x14ac:dyDescent="0.3">
      <c r="A46" s="13" t="s">
        <v>28</v>
      </c>
      <c r="B46" s="9"/>
      <c r="C46" s="9"/>
      <c r="D46" s="9"/>
      <c r="E46" s="9"/>
      <c r="F46" s="9"/>
      <c r="G46" s="9"/>
      <c r="H46" s="9"/>
      <c r="I46" s="15">
        <f>SUM(I40:I45)</f>
        <v>0</v>
      </c>
      <c r="J46" s="15">
        <f>SUM(J40:J45)</f>
        <v>0</v>
      </c>
      <c r="K46" s="15">
        <f t="shared" ref="K46:N46" si="3">SUM(K40:K45)</f>
        <v>0</v>
      </c>
      <c r="L46" s="15">
        <f t="shared" si="3"/>
        <v>0</v>
      </c>
      <c r="M46" s="15">
        <f t="shared" si="3"/>
        <v>0</v>
      </c>
      <c r="N46" s="15">
        <f t="shared" si="3"/>
        <v>0</v>
      </c>
    </row>
    <row r="47" spans="1:14" ht="15.75" thickTop="1" x14ac:dyDescent="0.25">
      <c r="I47" s="14"/>
      <c r="J47" s="14"/>
      <c r="K47" s="14"/>
      <c r="L47" s="14"/>
      <c r="M47" s="14"/>
      <c r="N47" s="14"/>
    </row>
    <row r="48" spans="1:14" ht="15.75" thickBot="1" x14ac:dyDescent="0.3">
      <c r="A48" s="13" t="s">
        <v>29</v>
      </c>
      <c r="B48" s="9"/>
      <c r="C48" s="9"/>
      <c r="D48" s="9"/>
      <c r="E48" s="9"/>
      <c r="F48" s="9"/>
      <c r="G48" s="9"/>
      <c r="H48" s="9"/>
      <c r="I48" s="15">
        <f>+I46+I37</f>
        <v>80</v>
      </c>
      <c r="J48" s="15">
        <f t="shared" ref="J48:N48" si="4">+J46+J37</f>
        <v>40</v>
      </c>
      <c r="K48" s="15">
        <f t="shared" si="4"/>
        <v>40</v>
      </c>
      <c r="L48" s="15">
        <f t="shared" si="4"/>
        <v>0</v>
      </c>
      <c r="M48" s="15">
        <f t="shared" si="4"/>
        <v>0</v>
      </c>
      <c r="N48" s="15">
        <f t="shared" si="4"/>
        <v>0</v>
      </c>
    </row>
    <row r="49" spans="1:14" ht="15.75" thickTop="1" x14ac:dyDescent="0.25"/>
    <row r="51" spans="1:14" ht="15.75" thickBot="1" x14ac:dyDescent="0.3">
      <c r="A51" s="13" t="s">
        <v>30</v>
      </c>
      <c r="B51" s="9"/>
      <c r="C51" s="9"/>
      <c r="D51" s="9"/>
      <c r="E51" s="9"/>
      <c r="F51" s="9"/>
      <c r="G51" s="9"/>
      <c r="H51" s="9"/>
      <c r="I51" s="15"/>
      <c r="J51" s="15">
        <v>40</v>
      </c>
      <c r="K51" s="15">
        <v>40</v>
      </c>
      <c r="L51" s="15">
        <v>40</v>
      </c>
      <c r="M51" s="15">
        <v>40</v>
      </c>
      <c r="N51" s="15">
        <v>40</v>
      </c>
    </row>
    <row r="52" spans="1:14" ht="16.5" thickTop="1" thickBot="1" x14ac:dyDescent="0.3">
      <c r="A52" s="13" t="s">
        <v>31</v>
      </c>
      <c r="B52" s="9"/>
      <c r="C52" s="9"/>
      <c r="D52" s="9"/>
      <c r="E52" s="9"/>
      <c r="F52" s="9"/>
      <c r="G52" s="9"/>
      <c r="H52" s="9"/>
      <c r="I52" s="15"/>
      <c r="J52" s="15">
        <f>+J51-J48</f>
        <v>0</v>
      </c>
      <c r="K52" s="15">
        <f t="shared" ref="K52:N52" si="5">+K51-K48</f>
        <v>0</v>
      </c>
      <c r="L52" s="15">
        <f t="shared" si="5"/>
        <v>40</v>
      </c>
      <c r="M52" s="15">
        <f t="shared" si="5"/>
        <v>40</v>
      </c>
      <c r="N52" s="15">
        <f t="shared" si="5"/>
        <v>40</v>
      </c>
    </row>
    <row r="53" spans="1:14" ht="15.75" thickTop="1" x14ac:dyDescent="0.25"/>
  </sheetData>
  <protectedRanges>
    <protectedRange sqref="A41:XFD45 H9:J36 A8:XFD8 L9:XFD36 E40:XFD40 A40:C40" name="Range1"/>
    <protectedRange sqref="D40 D9:D35" name="Range1_2"/>
    <protectedRange sqref="A9:A36" name="Range1_8"/>
    <protectedRange sqref="C11" name="Range1_2_2_3"/>
    <protectedRange sqref="C9" name="Range1_1_2"/>
    <protectedRange sqref="E9:G19 E20:E35" name="Range1_3_1_1"/>
    <protectedRange sqref="B9:B14" name="Range1_1_1_1_2"/>
    <protectedRange sqref="B15:B36" name="Range1_1_1_2_2"/>
    <protectedRange sqref="C21 C23" name="Range1_1"/>
    <protectedRange sqref="C24:C25 C27" name="Range1_4"/>
    <protectedRange sqref="C28" name="Range1_5"/>
    <protectedRange sqref="C29" name="Range1_9"/>
    <protectedRange sqref="C30" name="Range1_10"/>
    <protectedRange sqref="C31" name="Range1_4_1"/>
    <protectedRange sqref="C32" name="Range1_4_2"/>
    <protectedRange sqref="C33" name="Range1_4_3"/>
  </protectedRanges>
  <autoFilter ref="A7:N37" xr:uid="{00000000-0001-0000-0000-000000000000}"/>
  <pageMargins left="0.25" right="0.25" top="0.75" bottom="0.75" header="0.3" footer="0.3"/>
  <pageSetup orientation="landscape" horizontalDpi="1200" verticalDpi="1200" r:id="rId1"/>
  <ignoredErrors>
    <ignoredError sqref="J37" 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EB2F48-F9CD-4036-9CC7-2C53F177B98C}">
          <x14:formula1>
            <xm:f>Status!$B$4:$B$12</xm:f>
          </x14:formula1>
          <xm:sqref>D40 D9:D35</xm:sqref>
        </x14:dataValidation>
        <x14:dataValidation type="list" allowBlank="1" showInputMessage="1" showErrorMessage="1" xr:uid="{A5B31B8B-9DEF-419B-BEC0-DDE5A71964AC}">
          <x14:formula1>
            <xm:f>Status!$B$15:$B$22</xm:f>
          </x14:formula1>
          <xm:sqref>H9:H36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22"/>
  <sheetViews>
    <sheetView topLeftCell="A3" workbookViewId="0">
      <selection activeCell="B3" sqref="B3:C22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3" spans="2:3" ht="16.5" x14ac:dyDescent="0.25">
      <c r="B3" s="20" t="s">
        <v>40</v>
      </c>
      <c r="C3" s="20" t="s">
        <v>41</v>
      </c>
    </row>
    <row r="4" spans="2:3" x14ac:dyDescent="0.25">
      <c r="B4" s="21" t="s">
        <v>42</v>
      </c>
      <c r="C4" s="22" t="s">
        <v>43</v>
      </c>
    </row>
    <row r="5" spans="2:3" x14ac:dyDescent="0.25">
      <c r="B5" s="21" t="s">
        <v>44</v>
      </c>
      <c r="C5" s="22" t="s">
        <v>45</v>
      </c>
    </row>
    <row r="6" spans="2:3" x14ac:dyDescent="0.25">
      <c r="B6" s="21" t="s">
        <v>46</v>
      </c>
      <c r="C6" s="22" t="s">
        <v>47</v>
      </c>
    </row>
    <row r="7" spans="2:3" x14ac:dyDescent="0.25">
      <c r="B7" s="21" t="s">
        <v>48</v>
      </c>
      <c r="C7" s="22" t="s">
        <v>49</v>
      </c>
    </row>
    <row r="8" spans="2:3" x14ac:dyDescent="0.25">
      <c r="B8" s="21" t="s">
        <v>50</v>
      </c>
      <c r="C8" s="22" t="s">
        <v>51</v>
      </c>
    </row>
    <row r="9" spans="2:3" x14ac:dyDescent="0.25">
      <c r="B9" s="21" t="s">
        <v>52</v>
      </c>
      <c r="C9" s="22" t="s">
        <v>53</v>
      </c>
    </row>
    <row r="10" spans="2:3" x14ac:dyDescent="0.25">
      <c r="B10" s="21" t="s">
        <v>54</v>
      </c>
      <c r="C10" s="22" t="s">
        <v>55</v>
      </c>
    </row>
    <row r="11" spans="2:3" x14ac:dyDescent="0.25">
      <c r="B11" s="21" t="s">
        <v>56</v>
      </c>
      <c r="C11" s="22" t="s">
        <v>57</v>
      </c>
    </row>
    <row r="12" spans="2:3" x14ac:dyDescent="0.25">
      <c r="B12" s="21" t="s">
        <v>58</v>
      </c>
      <c r="C12" s="23" t="s">
        <v>59</v>
      </c>
    </row>
    <row r="14" spans="2:3" ht="16.5" x14ac:dyDescent="0.25">
      <c r="B14" s="20" t="s">
        <v>60</v>
      </c>
      <c r="C14" s="20" t="s">
        <v>41</v>
      </c>
    </row>
    <row r="15" spans="2:3" x14ac:dyDescent="0.25">
      <c r="B15" s="24" t="s">
        <v>19</v>
      </c>
      <c r="C15" s="22" t="s">
        <v>61</v>
      </c>
    </row>
    <row r="16" spans="2:3" x14ac:dyDescent="0.25">
      <c r="B16" s="24" t="s">
        <v>62</v>
      </c>
      <c r="C16" s="22" t="s">
        <v>63</v>
      </c>
    </row>
    <row r="17" spans="2:3" x14ac:dyDescent="0.25">
      <c r="B17" s="24" t="s">
        <v>64</v>
      </c>
      <c r="C17" s="22" t="s">
        <v>65</v>
      </c>
    </row>
    <row r="18" spans="2:3" x14ac:dyDescent="0.25">
      <c r="B18" s="24" t="s">
        <v>32</v>
      </c>
      <c r="C18" s="22" t="s">
        <v>66</v>
      </c>
    </row>
    <row r="19" spans="2:3" x14ac:dyDescent="0.25">
      <c r="B19" s="24" t="s">
        <v>33</v>
      </c>
      <c r="C19" s="22" t="s">
        <v>67</v>
      </c>
    </row>
    <row r="20" spans="2:3" x14ac:dyDescent="0.25">
      <c r="B20" s="24" t="s">
        <v>68</v>
      </c>
      <c r="C20" s="22" t="s">
        <v>69</v>
      </c>
    </row>
    <row r="21" spans="2:3" x14ac:dyDescent="0.25">
      <c r="B21" s="24" t="s">
        <v>70</v>
      </c>
      <c r="C21" s="22" t="s">
        <v>71</v>
      </c>
    </row>
    <row r="22" spans="2:3" x14ac:dyDescent="0.25">
      <c r="B22" s="24" t="s">
        <v>72</v>
      </c>
      <c r="C22" s="22" t="s">
        <v>73</v>
      </c>
    </row>
  </sheetData>
  <protectedRanges>
    <protectedRange sqref="C12" name="Range1_1"/>
  </protectedRange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7"/>
  <sheetViews>
    <sheetView workbookViewId="0">
      <selection activeCell="A7" sqref="A7"/>
    </sheetView>
  </sheetViews>
  <sheetFormatPr defaultRowHeight="15" x14ac:dyDescent="0.25"/>
  <cols>
    <col min="1" max="1" width="79.7109375" bestFit="1" customWidth="1"/>
  </cols>
  <sheetData>
    <row r="1" spans="1:1" s="17" customFormat="1" ht="16.5" thickBot="1" x14ac:dyDescent="0.3">
      <c r="A1" s="19" t="s">
        <v>34</v>
      </c>
    </row>
    <row r="2" spans="1:1" s="17" customFormat="1" ht="15.75" x14ac:dyDescent="0.25">
      <c r="A2" s="18"/>
    </row>
    <row r="3" spans="1:1" ht="15.75" x14ac:dyDescent="0.25">
      <c r="A3" s="16" t="s">
        <v>35</v>
      </c>
    </row>
    <row r="4" spans="1:1" ht="15.75" x14ac:dyDescent="0.25">
      <c r="A4" s="16" t="s">
        <v>36</v>
      </c>
    </row>
    <row r="5" spans="1:1" ht="15.75" x14ac:dyDescent="0.25">
      <c r="A5" s="16" t="s">
        <v>37</v>
      </c>
    </row>
    <row r="6" spans="1:1" ht="15.75" x14ac:dyDescent="0.25">
      <c r="A6" s="16" t="s">
        <v>38</v>
      </c>
    </row>
    <row r="7" spans="1:1" ht="15.75" x14ac:dyDescent="0.25">
      <c r="A7" s="16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Anantkumar Suthar</cp:lastModifiedBy>
  <cp:revision/>
  <dcterms:created xsi:type="dcterms:W3CDTF">2015-06-05T18:17:20Z</dcterms:created>
  <dcterms:modified xsi:type="dcterms:W3CDTF">2026-05-01T16:31:17Z</dcterms:modified>
  <cp:category/>
  <cp:contentStatus/>
</cp:coreProperties>
</file>