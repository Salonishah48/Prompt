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Y:\Accounts WIP\Team Nidhi Pandya\"/>
    </mc:Choice>
  </mc:AlternateContent>
  <xr:revisionPtr revIDLastSave="0" documentId="13_ncr:1_{D25CA33E-E426-474F-97D0-EC3B41AD95BD}" xr6:coauthVersionLast="47" xr6:coauthVersionMax="47" xr10:uidLastSave="{00000000-0000-0000-0000-000000000000}"/>
  <bookViews>
    <workbookView xWindow="20370" yWindow="-120" windowWidth="20730" windowHeight="11040" xr2:uid="{00000000-000D-0000-FFFF-FFFF00000000}"/>
  </bookViews>
  <sheets>
    <sheet name="WIP" sheetId="1" r:id="rId1"/>
    <sheet name="Status" sheetId="2" r:id="rId2"/>
    <sheet name="Instruction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1" l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9" i="1"/>
  <c r="K6" i="1"/>
  <c r="K30" i="1"/>
  <c r="J30" i="1"/>
  <c r="J39" i="1"/>
  <c r="J41" i="1" l="1"/>
  <c r="I30" i="1" l="1"/>
  <c r="I41" i="1" l="1"/>
</calcChain>
</file>

<file path=xl/sharedStrings.xml><?xml version="1.0" encoding="utf-8"?>
<sst xmlns="http://schemas.openxmlformats.org/spreadsheetml/2006/main" count="157" uniqueCount="96">
  <si>
    <t>Work in Progress Report</t>
  </si>
  <si>
    <t xml:space="preserve">Name: </t>
  </si>
  <si>
    <t>Title:</t>
  </si>
  <si>
    <t>Manager Name:</t>
  </si>
  <si>
    <t>Week starting on --&gt;&gt;</t>
  </si>
  <si>
    <t>Sr #</t>
  </si>
  <si>
    <t>Client Name</t>
  </si>
  <si>
    <t>Project (sub-client)</t>
  </si>
  <si>
    <t>Date in</t>
  </si>
  <si>
    <t>Internal due Date</t>
  </si>
  <si>
    <t>Completion date</t>
  </si>
  <si>
    <t>Status</t>
  </si>
  <si>
    <t>Hours of work</t>
  </si>
  <si>
    <t>Week 2</t>
  </si>
  <si>
    <t>Billable Hours</t>
  </si>
  <si>
    <t>In Preparation</t>
  </si>
  <si>
    <t>Total of Billable hours</t>
  </si>
  <si>
    <t>Non Billable hours</t>
  </si>
  <si>
    <t>Admin</t>
  </si>
  <si>
    <t>Management</t>
  </si>
  <si>
    <t>Training</t>
  </si>
  <si>
    <t>Leave</t>
  </si>
  <si>
    <t>Unassigned</t>
  </si>
  <si>
    <t>Total of non-billable</t>
  </si>
  <si>
    <t>Total Hours</t>
  </si>
  <si>
    <t>Weekly hours to be completed</t>
  </si>
  <si>
    <t>Available hours</t>
  </si>
  <si>
    <t>Not Started</t>
  </si>
  <si>
    <t>In Review</t>
  </si>
  <si>
    <t>Completed</t>
  </si>
  <si>
    <t>Points to be considered while updating the tracker</t>
  </si>
  <si>
    <t>Always use Sr. no. when inputting data (If there is no data, don't write sr. no).</t>
  </si>
  <si>
    <t>Don't leave any row blank in between (if require you can add a row in between)</t>
  </si>
  <si>
    <t>Don’t add or delete any column</t>
  </si>
  <si>
    <t>On Hold</t>
  </si>
  <si>
    <t>Ready to Work</t>
  </si>
  <si>
    <t>Work Item</t>
  </si>
  <si>
    <t>1099 Management</t>
  </si>
  <si>
    <t>Bookkeeping Management</t>
  </si>
  <si>
    <t>Payroll Management</t>
  </si>
  <si>
    <t>Sales Tax Management</t>
  </si>
  <si>
    <t>Purpose (Suggested Comment)</t>
  </si>
  <si>
    <t>Any work performed related to 1099, including calculation, filing, and W-9 updates.</t>
  </si>
  <si>
    <t>Accounts Payable / Receivable Management</t>
  </si>
  <si>
    <t>Invoice/Bill posting, payment processing, vendor reconciliation, and revenue reconciliation.</t>
  </si>
  <si>
    <t>Clean-up / Catch‑up Project Management</t>
  </si>
  <si>
    <t>Any accounting work performed apart from regular monthly bookkeeping.</t>
  </si>
  <si>
    <t>Weekly/Monthly/Quarterly bookkeeping activities.</t>
  </si>
  <si>
    <t>Month-End / Quarter-End Close Management</t>
  </si>
  <si>
    <t>Month-end/Quarter-end book review, financial statement preparation, and reporting.</t>
  </si>
  <si>
    <t>Payroll processing, working, posting, and reconciliation.</t>
  </si>
  <si>
    <t>Sales tax calculation and filing.</t>
  </si>
  <si>
    <t>Year-End / 13th Month Process Management</t>
  </si>
  <si>
    <t>Year-end finalization work, financial statement printing, and tax-to-book adjustments.</t>
  </si>
  <si>
    <t>Account Status</t>
  </si>
  <si>
    <t>Work is assigned but no action has been taken yet.</t>
  </si>
  <si>
    <t>Awaiting Documents / Information</t>
  </si>
  <si>
    <t>Pending required documents or information from the client, which is preventing progress on the task.</t>
  </si>
  <si>
    <t>All necessary documents and information have been received; the task is ready to begin.</t>
  </si>
  <si>
    <t>Work is currently in progress.</t>
  </si>
  <si>
    <t>Bookkeeping/Preparation work is completed and is under review.</t>
  </si>
  <si>
    <t>Task is fully completed (100%).</t>
  </si>
  <si>
    <t>Re-work as per Client Comment</t>
  </si>
  <si>
    <t>Performing corrections or updates based on client feedback or additional requirements received after submission.</t>
  </si>
  <si>
    <t>Work is put on hold as per client instruction until approval is received to restart.</t>
  </si>
  <si>
    <t>Please enter Client name and Project strictly as mention on ZOHO</t>
  </si>
  <si>
    <t>Work Item and Status (Yellow Highlighted) should be selected from drop down , do let us know if you need to add anything </t>
  </si>
  <si>
    <t>Please update below Information as per ZOHO only.</t>
  </si>
  <si>
    <t>Weeks should start from column "J6" - Don't change sequence (K6,L6,M6 will update automatically).</t>
  </si>
  <si>
    <t>Client Meetings and Communication</t>
  </si>
  <si>
    <t>Client call</t>
  </si>
  <si>
    <t>Tirth rathod</t>
  </si>
  <si>
    <t>Unify CPA</t>
  </si>
  <si>
    <t>Hug &amp; Kisses</t>
  </si>
  <si>
    <t>Do Drop Inn</t>
  </si>
  <si>
    <t>Drop Inc</t>
  </si>
  <si>
    <t xml:space="preserve">Staff </t>
  </si>
  <si>
    <t>Nidhi Pandya</t>
  </si>
  <si>
    <t>Tepeyac LLC</t>
  </si>
  <si>
    <t>3 Margaritas XX Inc (Greeley)</t>
  </si>
  <si>
    <t>El Roble Inc</t>
  </si>
  <si>
    <t>Emporium Sports Bar LLC</t>
  </si>
  <si>
    <t>Emporium Club House</t>
  </si>
  <si>
    <t>Pizza Palace</t>
  </si>
  <si>
    <t>FCCS LLC</t>
  </si>
  <si>
    <t>La Fonda CS LLC</t>
  </si>
  <si>
    <t>Tetitan Inc</t>
  </si>
  <si>
    <t>Doug's Day Diner LLC</t>
  </si>
  <si>
    <t>Plumpy Works LLC</t>
  </si>
  <si>
    <t>Prost Biergarten</t>
  </si>
  <si>
    <t>Next Door Tapas</t>
  </si>
  <si>
    <t>Margaritas Enterprises Inc</t>
  </si>
  <si>
    <t>South Colorado Motors LLC</t>
  </si>
  <si>
    <t>Week 1</t>
  </si>
  <si>
    <t>Slow Meaux - Unify CPA</t>
  </si>
  <si>
    <t>South Colorado Automotive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</si>
</sst>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0000"/>
      <name val="Aptos"/>
      <family val="2"/>
    </font>
    <font>
      <sz val="12"/>
      <color rgb="FF000000"/>
      <name val="Aptos"/>
      <family val="2"/>
    </font>
    <font>
      <b/>
      <sz val="11"/>
      <color theme="1"/>
      <name val="Segoe UI"/>
      <family val="2"/>
    </font>
    <font>
      <sz val="11"/>
      <color rgb="FFCD5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7">
    <xf numFmtId="0" fontId="0" fillId="0" borderId="0" xfId="0"/>
    <xf numFmtId="0" fontId="1" fillId="0" borderId="0" xfId="0" applyFont="1"/>
    <xf numFmtId="1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right"/>
    </xf>
    <xf numFmtId="0" fontId="0" fillId="3" borderId="0" xfId="0" applyFill="1"/>
    <xf numFmtId="0" fontId="2" fillId="0" borderId="0" xfId="0" applyFont="1"/>
    <xf numFmtId="0" fontId="0" fillId="4" borderId="0" xfId="0" applyFill="1"/>
    <xf numFmtId="0" fontId="1" fillId="3" borderId="0" xfId="0" applyFont="1" applyFill="1"/>
    <xf numFmtId="43" fontId="0" fillId="0" borderId="0" xfId="1" applyFont="1"/>
    <xf numFmtId="43" fontId="1" fillId="0" borderId="1" xfId="1" applyFont="1" applyBorder="1"/>
    <xf numFmtId="0" fontId="5" fillId="0" borderId="0" xfId="0" applyFont="1" applyAlignment="1">
      <alignment horizontal="left" vertical="center"/>
    </xf>
    <xf numFmtId="0" fontId="0" fillId="0" borderId="0" xfId="0" applyAlignment="1">
      <alignment wrapText="1"/>
    </xf>
    <xf numFmtId="0" fontId="4" fillId="0" borderId="0" xfId="0" applyFont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0" fontId="1" fillId="0" borderId="3" xfId="0" applyFont="1" applyBorder="1"/>
    <xf numFmtId="0" fontId="0" fillId="0" borderId="3" xfId="0" applyBorder="1"/>
    <xf numFmtId="0" fontId="1" fillId="0" borderId="3" xfId="0" applyFont="1" applyBorder="1" applyAlignment="1">
      <alignment horizontal="left"/>
    </xf>
    <xf numFmtId="0" fontId="6" fillId="6" borderId="3" xfId="0" applyFont="1" applyFill="1" applyBorder="1" applyAlignment="1">
      <alignment horizontal="left" vertical="center" wrapText="1"/>
    </xf>
    <xf numFmtId="0" fontId="1" fillId="5" borderId="0" xfId="0" applyFont="1" applyFill="1" applyAlignment="1">
      <alignment horizontal="center" vertical="center" wrapText="1"/>
    </xf>
    <xf numFmtId="0" fontId="0" fillId="5" borderId="0" xfId="0" applyFill="1"/>
    <xf numFmtId="0" fontId="7" fillId="0" borderId="0" xfId="0" applyFont="1" applyAlignment="1">
      <alignment vertical="center" wrapText="1"/>
    </xf>
    <xf numFmtId="43" fontId="0" fillId="5" borderId="0" xfId="1" applyFont="1" applyFill="1"/>
    <xf numFmtId="43" fontId="1" fillId="5" borderId="1" xfId="1" applyFont="1" applyFill="1" applyBorder="1"/>
    <xf numFmtId="14" fontId="0" fillId="7" borderId="0" xfId="0" applyNumberForma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2</xdr:row>
      <xdr:rowOff>190500</xdr:rowOff>
    </xdr:from>
    <xdr:to>
      <xdr:col>0</xdr:col>
      <xdr:colOff>3305630</xdr:colOff>
      <xdr:row>5</xdr:row>
      <xdr:rowOff>142952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B63BCEF-AC95-4953-BDB7-7656B44AC2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600075"/>
          <a:ext cx="3258005" cy="5525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6"/>
  <sheetViews>
    <sheetView tabSelected="1" zoomScaleNormal="100" workbookViewId="0">
      <pane xSplit="2" ySplit="7" topLeftCell="C8" activePane="bottomRight" state="frozen"/>
      <selection pane="topRight" activeCell="C1" sqref="C1"/>
      <selection pane="bottomLeft" activeCell="A7" sqref="A7"/>
      <selection pane="bottomRight" activeCell="A8" sqref="A8"/>
    </sheetView>
  </sheetViews>
  <sheetFormatPr defaultRowHeight="15" x14ac:dyDescent="0.25"/>
  <cols>
    <col min="1" max="1" width="28.85546875" bestFit="1" customWidth="1"/>
    <col min="2" max="2" width="12.7109375" bestFit="1" customWidth="1"/>
    <col min="3" max="3" width="29.42578125" bestFit="1" customWidth="1"/>
    <col min="4" max="4" width="25.140625" bestFit="1" customWidth="1"/>
    <col min="5" max="5" width="10.7109375" bestFit="1" customWidth="1"/>
    <col min="6" max="6" width="9" bestFit="1" customWidth="1"/>
    <col min="7" max="7" width="11.42578125" bestFit="1" customWidth="1"/>
    <col min="8" max="8" width="13.7109375" bestFit="1" customWidth="1"/>
    <col min="9" max="9" width="20.140625" bestFit="1" customWidth="1"/>
    <col min="10" max="11" width="10.7109375" bestFit="1" customWidth="1"/>
  </cols>
  <sheetData>
    <row r="1" spans="1:11" x14ac:dyDescent="0.25">
      <c r="A1" s="1" t="s">
        <v>0</v>
      </c>
      <c r="H1" s="9"/>
    </row>
    <row r="2" spans="1:11" x14ac:dyDescent="0.25">
      <c r="A2" s="1" t="s">
        <v>1</v>
      </c>
      <c r="B2" s="8" t="s">
        <v>71</v>
      </c>
      <c r="H2" s="1"/>
      <c r="I2" s="1"/>
    </row>
    <row r="3" spans="1:11" x14ac:dyDescent="0.25">
      <c r="A3" s="1" t="s">
        <v>2</v>
      </c>
      <c r="B3" s="8" t="s">
        <v>76</v>
      </c>
      <c r="H3" s="1"/>
      <c r="I3" s="1"/>
    </row>
    <row r="4" spans="1:11" x14ac:dyDescent="0.25">
      <c r="A4" s="1" t="s">
        <v>3</v>
      </c>
      <c r="B4" s="8" t="s">
        <v>77</v>
      </c>
      <c r="H4" s="1"/>
      <c r="I4" s="1"/>
    </row>
    <row r="5" spans="1:11" x14ac:dyDescent="0.25">
      <c r="A5" s="1"/>
      <c r="B5" s="8"/>
    </row>
    <row r="6" spans="1:11" x14ac:dyDescent="0.25">
      <c r="I6" s="6" t="s">
        <v>4</v>
      </c>
      <c r="J6" s="26">
        <v>46146</v>
      </c>
      <c r="K6" s="2">
        <f>J6+7</f>
        <v>46153</v>
      </c>
    </row>
    <row r="7" spans="1:11" s="1" customFormat="1" ht="30" x14ac:dyDescent="0.25">
      <c r="A7" s="3" t="s">
        <v>5</v>
      </c>
      <c r="B7" s="3" t="s">
        <v>6</v>
      </c>
      <c r="C7" s="3" t="s">
        <v>7</v>
      </c>
      <c r="D7" s="21" t="s">
        <v>36</v>
      </c>
      <c r="E7" s="3" t="s">
        <v>8</v>
      </c>
      <c r="F7" s="3" t="s">
        <v>9</v>
      </c>
      <c r="G7" s="3" t="s">
        <v>10</v>
      </c>
      <c r="H7" s="21" t="s">
        <v>11</v>
      </c>
      <c r="I7" s="21" t="s">
        <v>12</v>
      </c>
      <c r="J7" s="3" t="s">
        <v>93</v>
      </c>
      <c r="K7" s="3" t="s">
        <v>13</v>
      </c>
    </row>
    <row r="8" spans="1:11" x14ac:dyDescent="0.25">
      <c r="A8" s="5" t="s">
        <v>14</v>
      </c>
      <c r="B8" s="4"/>
      <c r="C8" s="4"/>
      <c r="D8" s="21"/>
      <c r="E8" s="4"/>
      <c r="F8" s="4"/>
      <c r="G8" s="4"/>
      <c r="H8" s="21"/>
      <c r="I8" s="21"/>
    </row>
    <row r="9" spans="1:11" x14ac:dyDescent="0.25">
      <c r="A9">
        <v>1</v>
      </c>
      <c r="B9" s="1" t="s">
        <v>72</v>
      </c>
      <c r="C9" t="s">
        <v>80</v>
      </c>
      <c r="D9" s="22" t="s">
        <v>38</v>
      </c>
      <c r="E9" s="2">
        <v>46146</v>
      </c>
      <c r="F9" s="2"/>
      <c r="G9" s="2"/>
      <c r="H9" s="22" t="s">
        <v>15</v>
      </c>
      <c r="I9" s="24">
        <f>SUM(J9:K9)</f>
        <v>4</v>
      </c>
      <c r="J9">
        <v>4</v>
      </c>
    </row>
    <row r="10" spans="1:11" x14ac:dyDescent="0.25">
      <c r="A10">
        <v>2</v>
      </c>
      <c r="B10" s="1" t="s">
        <v>72</v>
      </c>
      <c r="C10" t="s">
        <v>81</v>
      </c>
      <c r="D10" s="22" t="s">
        <v>38</v>
      </c>
      <c r="E10" s="2">
        <v>46146</v>
      </c>
      <c r="F10" s="2"/>
      <c r="G10" s="2"/>
      <c r="H10" s="22" t="s">
        <v>15</v>
      </c>
      <c r="I10" s="24">
        <f t="shared" ref="I10:I28" si="0">SUM(J10:K10)</f>
        <v>4</v>
      </c>
      <c r="J10">
        <v>4</v>
      </c>
    </row>
    <row r="11" spans="1:11" x14ac:dyDescent="0.25">
      <c r="A11">
        <v>3</v>
      </c>
      <c r="B11" s="1" t="s">
        <v>72</v>
      </c>
      <c r="C11" t="s">
        <v>82</v>
      </c>
      <c r="D11" s="22" t="s">
        <v>38</v>
      </c>
      <c r="E11" s="2">
        <v>46147</v>
      </c>
      <c r="G11" s="2"/>
      <c r="H11" s="22" t="s">
        <v>27</v>
      </c>
      <c r="I11" s="24">
        <f t="shared" si="0"/>
        <v>4</v>
      </c>
      <c r="J11">
        <v>4</v>
      </c>
    </row>
    <row r="12" spans="1:11" x14ac:dyDescent="0.25">
      <c r="A12">
        <v>4</v>
      </c>
      <c r="B12" s="1" t="s">
        <v>72</v>
      </c>
      <c r="C12" t="s">
        <v>84</v>
      </c>
      <c r="D12" s="22" t="s">
        <v>38</v>
      </c>
      <c r="E12" s="2">
        <v>46147</v>
      </c>
      <c r="F12" s="2"/>
      <c r="G12" s="2"/>
      <c r="H12" s="22" t="s">
        <v>27</v>
      </c>
      <c r="I12" s="24">
        <f t="shared" si="0"/>
        <v>4</v>
      </c>
      <c r="J12">
        <v>4</v>
      </c>
    </row>
    <row r="13" spans="1:11" x14ac:dyDescent="0.25">
      <c r="A13">
        <v>5</v>
      </c>
      <c r="B13" s="1" t="s">
        <v>72</v>
      </c>
      <c r="C13" t="s">
        <v>85</v>
      </c>
      <c r="D13" s="22" t="s">
        <v>38</v>
      </c>
      <c r="E13" s="2">
        <v>46148</v>
      </c>
      <c r="G13" s="2"/>
      <c r="H13" s="22" t="s">
        <v>27</v>
      </c>
      <c r="I13" s="24">
        <f t="shared" si="0"/>
        <v>4</v>
      </c>
      <c r="J13">
        <v>4</v>
      </c>
    </row>
    <row r="14" spans="1:11" x14ac:dyDescent="0.25">
      <c r="A14">
        <v>6</v>
      </c>
      <c r="B14" s="1" t="s">
        <v>72</v>
      </c>
      <c r="C14" t="s">
        <v>90</v>
      </c>
      <c r="D14" s="22" t="s">
        <v>38</v>
      </c>
      <c r="E14" s="2">
        <v>46148</v>
      </c>
      <c r="F14" s="2"/>
      <c r="G14" s="2"/>
      <c r="H14" s="22" t="s">
        <v>27</v>
      </c>
      <c r="I14" s="24">
        <f t="shared" si="0"/>
        <v>4</v>
      </c>
      <c r="J14">
        <v>4</v>
      </c>
    </row>
    <row r="15" spans="1:11" x14ac:dyDescent="0.25">
      <c r="A15">
        <v>7</v>
      </c>
      <c r="B15" s="1" t="s">
        <v>72</v>
      </c>
      <c r="C15" t="s">
        <v>88</v>
      </c>
      <c r="D15" s="22" t="s">
        <v>38</v>
      </c>
      <c r="E15" s="2">
        <v>46149</v>
      </c>
      <c r="F15" s="2"/>
      <c r="G15" s="2"/>
      <c r="H15" s="22" t="s">
        <v>27</v>
      </c>
      <c r="I15" s="24">
        <f t="shared" si="0"/>
        <v>4</v>
      </c>
      <c r="J15">
        <v>4</v>
      </c>
    </row>
    <row r="16" spans="1:11" x14ac:dyDescent="0.25">
      <c r="A16">
        <v>8</v>
      </c>
      <c r="B16" s="1" t="s">
        <v>72</v>
      </c>
      <c r="C16" t="s">
        <v>79</v>
      </c>
      <c r="D16" s="22" t="s">
        <v>38</v>
      </c>
      <c r="E16" s="2">
        <v>46149</v>
      </c>
      <c r="F16" s="2"/>
      <c r="G16" s="2"/>
      <c r="H16" s="22" t="s">
        <v>27</v>
      </c>
      <c r="I16" s="24">
        <f t="shared" si="0"/>
        <v>4</v>
      </c>
      <c r="J16">
        <v>4</v>
      </c>
    </row>
    <row r="17" spans="1:11" x14ac:dyDescent="0.25">
      <c r="A17">
        <v>9</v>
      </c>
      <c r="B17" s="1" t="s">
        <v>72</v>
      </c>
      <c r="C17" t="s">
        <v>73</v>
      </c>
      <c r="D17" s="22" t="s">
        <v>38</v>
      </c>
      <c r="E17" s="2">
        <v>46150</v>
      </c>
      <c r="F17" s="2"/>
      <c r="G17" s="2"/>
      <c r="H17" s="22" t="s">
        <v>29</v>
      </c>
      <c r="I17" s="24">
        <f t="shared" si="0"/>
        <v>4</v>
      </c>
      <c r="J17">
        <v>4</v>
      </c>
    </row>
    <row r="18" spans="1:11" x14ac:dyDescent="0.25">
      <c r="A18">
        <v>10</v>
      </c>
      <c r="B18" s="1" t="s">
        <v>72</v>
      </c>
      <c r="C18" t="s">
        <v>94</v>
      </c>
      <c r="D18" s="22" t="s">
        <v>38</v>
      </c>
      <c r="E18" s="2">
        <v>46150</v>
      </c>
      <c r="F18" s="2"/>
      <c r="G18" s="2"/>
      <c r="H18" s="22" t="s">
        <v>29</v>
      </c>
      <c r="I18" s="24">
        <f t="shared" si="0"/>
        <v>4</v>
      </c>
      <c r="J18">
        <v>4</v>
      </c>
    </row>
    <row r="19" spans="1:11" x14ac:dyDescent="0.25">
      <c r="A19">
        <v>11</v>
      </c>
      <c r="B19" s="1" t="s">
        <v>72</v>
      </c>
      <c r="C19" t="s">
        <v>78</v>
      </c>
      <c r="D19" s="22" t="s">
        <v>38</v>
      </c>
      <c r="E19" s="2">
        <v>46153</v>
      </c>
      <c r="F19" s="2"/>
      <c r="G19" s="2"/>
      <c r="H19" s="22" t="s">
        <v>27</v>
      </c>
      <c r="I19" s="24">
        <f t="shared" si="0"/>
        <v>4</v>
      </c>
      <c r="K19">
        <v>4</v>
      </c>
    </row>
    <row r="20" spans="1:11" x14ac:dyDescent="0.25">
      <c r="A20">
        <v>12</v>
      </c>
      <c r="B20" s="1" t="s">
        <v>72</v>
      </c>
      <c r="C20" t="s">
        <v>86</v>
      </c>
      <c r="D20" s="22" t="s">
        <v>38</v>
      </c>
      <c r="E20" s="2">
        <v>46153</v>
      </c>
      <c r="F20" s="2"/>
      <c r="G20" s="2"/>
      <c r="H20" s="22" t="s">
        <v>27</v>
      </c>
      <c r="I20" s="24">
        <f t="shared" si="0"/>
        <v>4</v>
      </c>
      <c r="K20">
        <v>4</v>
      </c>
    </row>
    <row r="21" spans="1:11" x14ac:dyDescent="0.25">
      <c r="A21">
        <v>13</v>
      </c>
      <c r="B21" s="1" t="s">
        <v>72</v>
      </c>
      <c r="C21" t="s">
        <v>91</v>
      </c>
      <c r="D21" s="22" t="s">
        <v>38</v>
      </c>
      <c r="E21" s="2">
        <v>46154</v>
      </c>
      <c r="F21" s="2"/>
      <c r="G21" s="2"/>
      <c r="H21" s="22" t="s">
        <v>27</v>
      </c>
      <c r="I21" s="24">
        <f t="shared" si="0"/>
        <v>4</v>
      </c>
      <c r="K21">
        <v>4</v>
      </c>
    </row>
    <row r="22" spans="1:11" x14ac:dyDescent="0.25">
      <c r="A22">
        <v>14</v>
      </c>
      <c r="B22" s="1" t="s">
        <v>72</v>
      </c>
      <c r="C22" t="s">
        <v>74</v>
      </c>
      <c r="D22" s="22" t="s">
        <v>38</v>
      </c>
      <c r="E22" s="2">
        <v>46154</v>
      </c>
      <c r="F22" s="2"/>
      <c r="G22" s="2"/>
      <c r="H22" s="22" t="s">
        <v>27</v>
      </c>
      <c r="I22" s="24">
        <f t="shared" si="0"/>
        <v>4</v>
      </c>
      <c r="K22">
        <v>4</v>
      </c>
    </row>
    <row r="23" spans="1:11" x14ac:dyDescent="0.25">
      <c r="A23">
        <v>15</v>
      </c>
      <c r="B23" s="1" t="s">
        <v>72</v>
      </c>
      <c r="C23" t="s">
        <v>75</v>
      </c>
      <c r="D23" s="22" t="s">
        <v>38</v>
      </c>
      <c r="E23" s="2">
        <v>46155</v>
      </c>
      <c r="F23" s="2"/>
      <c r="G23" s="2"/>
      <c r="H23" s="22" t="s">
        <v>27</v>
      </c>
      <c r="I23" s="24">
        <f t="shared" si="0"/>
        <v>4</v>
      </c>
      <c r="K23">
        <v>4</v>
      </c>
    </row>
    <row r="24" spans="1:11" x14ac:dyDescent="0.25">
      <c r="A24">
        <v>16</v>
      </c>
      <c r="B24" s="1" t="s">
        <v>72</v>
      </c>
      <c r="C24" t="s">
        <v>89</v>
      </c>
      <c r="D24" s="22" t="s">
        <v>38</v>
      </c>
      <c r="E24" s="2">
        <v>46155</v>
      </c>
      <c r="F24" s="2"/>
      <c r="G24" s="2"/>
      <c r="H24" s="22" t="s">
        <v>27</v>
      </c>
      <c r="I24" s="24">
        <f t="shared" si="0"/>
        <v>4</v>
      </c>
      <c r="K24">
        <v>4</v>
      </c>
    </row>
    <row r="25" spans="1:11" x14ac:dyDescent="0.25">
      <c r="A25">
        <v>17</v>
      </c>
      <c r="B25" s="1" t="s">
        <v>72</v>
      </c>
      <c r="C25" t="s">
        <v>83</v>
      </c>
      <c r="D25" s="22" t="s">
        <v>38</v>
      </c>
      <c r="E25" s="2">
        <v>46156</v>
      </c>
      <c r="F25" s="2"/>
      <c r="G25" s="2"/>
      <c r="H25" s="22" t="s">
        <v>27</v>
      </c>
      <c r="I25" s="24">
        <f t="shared" si="0"/>
        <v>4</v>
      </c>
      <c r="K25">
        <v>4</v>
      </c>
    </row>
    <row r="26" spans="1:11" x14ac:dyDescent="0.25">
      <c r="A26">
        <v>18</v>
      </c>
      <c r="B26" s="1" t="s">
        <v>72</v>
      </c>
      <c r="C26" t="s">
        <v>87</v>
      </c>
      <c r="D26" s="22" t="s">
        <v>38</v>
      </c>
      <c r="E26" s="2">
        <v>46156</v>
      </c>
      <c r="F26" s="2"/>
      <c r="G26" s="2"/>
      <c r="H26" s="22" t="s">
        <v>27</v>
      </c>
      <c r="I26" s="24">
        <f t="shared" si="0"/>
        <v>4</v>
      </c>
      <c r="K26">
        <v>4</v>
      </c>
    </row>
    <row r="27" spans="1:11" x14ac:dyDescent="0.25">
      <c r="A27">
        <v>19</v>
      </c>
      <c r="B27" s="1" t="s">
        <v>72</v>
      </c>
      <c r="C27" t="s">
        <v>95</v>
      </c>
      <c r="D27" s="22" t="s">
        <v>38</v>
      </c>
      <c r="E27" s="2">
        <v>46157</v>
      </c>
      <c r="F27" s="2"/>
      <c r="G27" s="2"/>
      <c r="H27" s="22" t="s">
        <v>27</v>
      </c>
      <c r="I27" s="24">
        <f t="shared" si="0"/>
        <v>4</v>
      </c>
      <c r="K27">
        <v>4</v>
      </c>
    </row>
    <row r="28" spans="1:11" x14ac:dyDescent="0.25">
      <c r="A28">
        <v>20</v>
      </c>
      <c r="B28" s="1" t="s">
        <v>72</v>
      </c>
      <c r="C28" t="s">
        <v>92</v>
      </c>
      <c r="D28" s="22" t="s">
        <v>38</v>
      </c>
      <c r="E28" s="2">
        <v>46157</v>
      </c>
      <c r="F28" s="2"/>
      <c r="G28" s="2"/>
      <c r="H28" s="22" t="s">
        <v>27</v>
      </c>
      <c r="I28" s="24">
        <f t="shared" si="0"/>
        <v>4</v>
      </c>
      <c r="K28">
        <v>4</v>
      </c>
    </row>
    <row r="29" spans="1:11" x14ac:dyDescent="0.25">
      <c r="D29" s="22"/>
      <c r="H29" s="22"/>
      <c r="I29" s="22"/>
    </row>
    <row r="30" spans="1:11" ht="15.75" thickBot="1" x14ac:dyDescent="0.3">
      <c r="A30" s="10" t="s">
        <v>16</v>
      </c>
      <c r="B30" s="7"/>
      <c r="C30" s="7"/>
      <c r="D30" s="7"/>
      <c r="E30" s="7"/>
      <c r="F30" s="7"/>
      <c r="G30" s="7"/>
      <c r="H30" s="7"/>
      <c r="I30" s="25">
        <f>SUM(I8:I29)</f>
        <v>80</v>
      </c>
      <c r="J30" s="12">
        <f>SUM(J8:J29)</f>
        <v>40</v>
      </c>
      <c r="K30" s="12">
        <f>SUM(K8:K29)</f>
        <v>40</v>
      </c>
    </row>
    <row r="31" spans="1:11" ht="15.75" thickTop="1" x14ac:dyDescent="0.25">
      <c r="I31" s="24"/>
      <c r="J31" s="11"/>
    </row>
    <row r="32" spans="1:11" x14ac:dyDescent="0.25">
      <c r="A32" s="1" t="s">
        <v>17</v>
      </c>
      <c r="I32" s="24"/>
      <c r="J32" s="11"/>
    </row>
    <row r="33" spans="1:10" x14ac:dyDescent="0.25">
      <c r="B33" t="s">
        <v>18</v>
      </c>
      <c r="I33" s="24"/>
      <c r="J33" s="11"/>
    </row>
    <row r="34" spans="1:10" x14ac:dyDescent="0.25">
      <c r="B34" t="s">
        <v>19</v>
      </c>
      <c r="I34" s="24"/>
      <c r="J34" s="11"/>
    </row>
    <row r="35" spans="1:10" x14ac:dyDescent="0.25">
      <c r="B35" t="s">
        <v>20</v>
      </c>
      <c r="I35" s="24"/>
      <c r="J35" s="11"/>
    </row>
    <row r="36" spans="1:10" x14ac:dyDescent="0.25">
      <c r="B36" t="s">
        <v>21</v>
      </c>
      <c r="I36" s="24"/>
      <c r="J36" s="11"/>
    </row>
    <row r="37" spans="1:10" x14ac:dyDescent="0.25">
      <c r="B37" t="s">
        <v>22</v>
      </c>
      <c r="I37" s="24"/>
      <c r="J37" s="11"/>
    </row>
    <row r="38" spans="1:10" x14ac:dyDescent="0.25">
      <c r="I38" s="22"/>
    </row>
    <row r="39" spans="1:10" ht="15.75" thickBot="1" x14ac:dyDescent="0.3">
      <c r="A39" s="10" t="s">
        <v>23</v>
      </c>
      <c r="B39" s="7"/>
      <c r="C39" s="7"/>
      <c r="D39" s="7"/>
      <c r="E39" s="7"/>
      <c r="F39" s="7"/>
      <c r="G39" s="7"/>
      <c r="H39" s="7"/>
      <c r="I39" s="25"/>
      <c r="J39" s="12">
        <f t="shared" ref="J39" si="1">SUM(J33:J38)</f>
        <v>0</v>
      </c>
    </row>
    <row r="40" spans="1:10" ht="15.75" thickTop="1" x14ac:dyDescent="0.25">
      <c r="I40" s="24"/>
      <c r="J40" s="11"/>
    </row>
    <row r="41" spans="1:10" ht="15.75" thickBot="1" x14ac:dyDescent="0.3">
      <c r="A41" s="10" t="s">
        <v>24</v>
      </c>
      <c r="B41" s="7"/>
      <c r="C41" s="7"/>
      <c r="D41" s="7"/>
      <c r="E41" s="7"/>
      <c r="F41" s="7"/>
      <c r="G41" s="7"/>
      <c r="H41" s="7"/>
      <c r="I41" s="25">
        <f>+I39+I30</f>
        <v>80</v>
      </c>
      <c r="J41" s="12">
        <f t="shared" ref="J41" si="2">+J39+J30</f>
        <v>40</v>
      </c>
    </row>
    <row r="42" spans="1:10" ht="15.75" thickTop="1" x14ac:dyDescent="0.25">
      <c r="I42" s="22"/>
    </row>
    <row r="43" spans="1:10" x14ac:dyDescent="0.25">
      <c r="I43" s="22"/>
    </row>
    <row r="44" spans="1:10" ht="15.75" thickBot="1" x14ac:dyDescent="0.3">
      <c r="A44" s="10" t="s">
        <v>25</v>
      </c>
      <c r="B44" s="7"/>
      <c r="C44" s="7"/>
      <c r="D44" s="7"/>
      <c r="E44" s="7"/>
      <c r="F44" s="7"/>
      <c r="G44" s="7"/>
      <c r="H44" s="7"/>
      <c r="I44" s="25"/>
      <c r="J44" s="12"/>
    </row>
    <row r="45" spans="1:10" ht="16.5" thickTop="1" thickBot="1" x14ac:dyDescent="0.3">
      <c r="A45" s="10" t="s">
        <v>26</v>
      </c>
      <c r="B45" s="7"/>
      <c r="C45" s="7"/>
      <c r="D45" s="7"/>
      <c r="E45" s="7"/>
      <c r="F45" s="7"/>
      <c r="G45" s="7"/>
      <c r="H45" s="7"/>
      <c r="I45" s="25"/>
      <c r="J45" s="12"/>
    </row>
    <row r="46" spans="1:10" ht="15.75" thickTop="1" x14ac:dyDescent="0.25"/>
  </sheetData>
  <protectedRanges>
    <protectedRange sqref="E29:F29 B29:C29 A8:XFD8 H9:XFD9 A33:XFD38 K19:K28 J10:K18 J29:K29 L10:XFD29 C13:C28 G10:I29 F11:F28 A9:A29" name="Range1"/>
    <protectedRange sqref="C9:C12 B9:B28" name="Range1_1"/>
    <protectedRange sqref="D9:D29" name="Range1_2"/>
    <protectedRange sqref="G9 E9:F10 E11:E28" name="Range1_3"/>
  </protectedRanges>
  <pageMargins left="0.25" right="0.25" top="0.75" bottom="0.75" header="0.3" footer="0.3"/>
  <pageSetup orientation="landscape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74BA8BDB-53D6-49C3-ABCC-E46D7EAA39F8}">
          <x14:formula1>
            <xm:f>Status!$B$16:$B$23</xm:f>
          </x14:formula1>
          <xm:sqref>H9:H29</xm:sqref>
        </x14:dataValidation>
        <x14:dataValidation type="list" allowBlank="1" showInputMessage="1" showErrorMessage="1" xr:uid="{477E9492-0757-4148-ABBB-6EC6E83F516C}">
          <x14:formula1>
            <xm:f>Status!$B$3:$B$11</xm:f>
          </x14:formula1>
          <xm:sqref>D9:D29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23"/>
  <sheetViews>
    <sheetView workbookViewId="0">
      <selection activeCell="F1" sqref="F1"/>
    </sheetView>
  </sheetViews>
  <sheetFormatPr defaultRowHeight="15" x14ac:dyDescent="0.25"/>
  <cols>
    <col min="2" max="2" width="42.28515625" bestFit="1" customWidth="1"/>
    <col min="3" max="3" width="105" bestFit="1" customWidth="1"/>
  </cols>
  <sheetData>
    <row r="2" spans="2:3" ht="16.5" x14ac:dyDescent="0.25">
      <c r="B2" s="20" t="s">
        <v>36</v>
      </c>
      <c r="C2" s="20" t="s">
        <v>41</v>
      </c>
    </row>
    <row r="3" spans="2:3" x14ac:dyDescent="0.25">
      <c r="B3" s="17" t="s">
        <v>37</v>
      </c>
      <c r="C3" s="18" t="s">
        <v>42</v>
      </c>
    </row>
    <row r="4" spans="2:3" x14ac:dyDescent="0.25">
      <c r="B4" s="17" t="s">
        <v>43</v>
      </c>
      <c r="C4" s="18" t="s">
        <v>44</v>
      </c>
    </row>
    <row r="5" spans="2:3" x14ac:dyDescent="0.25">
      <c r="B5" s="17" t="s">
        <v>45</v>
      </c>
      <c r="C5" s="18" t="s">
        <v>46</v>
      </c>
    </row>
    <row r="6" spans="2:3" x14ac:dyDescent="0.25">
      <c r="B6" s="17" t="s">
        <v>38</v>
      </c>
      <c r="C6" s="18" t="s">
        <v>47</v>
      </c>
    </row>
    <row r="7" spans="2:3" x14ac:dyDescent="0.25">
      <c r="B7" s="17" t="s">
        <v>48</v>
      </c>
      <c r="C7" s="18" t="s">
        <v>49</v>
      </c>
    </row>
    <row r="8" spans="2:3" x14ac:dyDescent="0.25">
      <c r="B8" s="17" t="s">
        <v>39</v>
      </c>
      <c r="C8" s="18" t="s">
        <v>50</v>
      </c>
    </row>
    <row r="9" spans="2:3" x14ac:dyDescent="0.25">
      <c r="B9" s="17" t="s">
        <v>40</v>
      </c>
      <c r="C9" s="18" t="s">
        <v>51</v>
      </c>
    </row>
    <row r="10" spans="2:3" x14ac:dyDescent="0.25">
      <c r="B10" s="17" t="s">
        <v>69</v>
      </c>
      <c r="C10" s="18" t="s">
        <v>70</v>
      </c>
    </row>
    <row r="11" spans="2:3" x14ac:dyDescent="0.25">
      <c r="B11" s="17" t="s">
        <v>52</v>
      </c>
      <c r="C11" s="18" t="s">
        <v>53</v>
      </c>
    </row>
    <row r="15" spans="2:3" ht="16.5" x14ac:dyDescent="0.25">
      <c r="B15" s="20" t="s">
        <v>54</v>
      </c>
      <c r="C15" s="20" t="s">
        <v>41</v>
      </c>
    </row>
    <row r="16" spans="2:3" x14ac:dyDescent="0.25">
      <c r="B16" s="19" t="s">
        <v>27</v>
      </c>
      <c r="C16" s="18" t="s">
        <v>55</v>
      </c>
    </row>
    <row r="17" spans="2:3" x14ac:dyDescent="0.25">
      <c r="B17" s="19" t="s">
        <v>56</v>
      </c>
      <c r="C17" s="18" t="s">
        <v>57</v>
      </c>
    </row>
    <row r="18" spans="2:3" x14ac:dyDescent="0.25">
      <c r="B18" s="19" t="s">
        <v>35</v>
      </c>
      <c r="C18" s="18" t="s">
        <v>58</v>
      </c>
    </row>
    <row r="19" spans="2:3" x14ac:dyDescent="0.25">
      <c r="B19" s="19" t="s">
        <v>15</v>
      </c>
      <c r="C19" s="18" t="s">
        <v>59</v>
      </c>
    </row>
    <row r="20" spans="2:3" x14ac:dyDescent="0.25">
      <c r="B20" s="19" t="s">
        <v>28</v>
      </c>
      <c r="C20" s="18" t="s">
        <v>60</v>
      </c>
    </row>
    <row r="21" spans="2:3" x14ac:dyDescent="0.25">
      <c r="B21" s="19" t="s">
        <v>29</v>
      </c>
      <c r="C21" s="18" t="s">
        <v>61</v>
      </c>
    </row>
    <row r="22" spans="2:3" x14ac:dyDescent="0.25">
      <c r="B22" s="19" t="s">
        <v>62</v>
      </c>
      <c r="C22" s="18" t="s">
        <v>63</v>
      </c>
    </row>
    <row r="23" spans="2:3" x14ac:dyDescent="0.25">
      <c r="B23" s="19" t="s">
        <v>34</v>
      </c>
      <c r="C23" s="18" t="s">
        <v>64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E2E60-F470-4239-9579-7003731F04DB}">
  <dimension ref="A1:A16"/>
  <sheetViews>
    <sheetView workbookViewId="0">
      <selection activeCell="A18" sqref="A18"/>
    </sheetView>
  </sheetViews>
  <sheetFormatPr defaultRowHeight="15" x14ac:dyDescent="0.25"/>
  <cols>
    <col min="1" max="1" width="124.28515625" bestFit="1" customWidth="1"/>
  </cols>
  <sheetData>
    <row r="1" spans="1:1" s="14" customFormat="1" ht="16.5" thickBot="1" x14ac:dyDescent="0.3">
      <c r="A1" s="16" t="s">
        <v>30</v>
      </c>
    </row>
    <row r="2" spans="1:1" s="14" customFormat="1" ht="15.75" x14ac:dyDescent="0.25">
      <c r="A2" s="15"/>
    </row>
    <row r="3" spans="1:1" s="14" customFormat="1" ht="15.75" x14ac:dyDescent="0.25">
      <c r="A3" s="13" t="s">
        <v>67</v>
      </c>
    </row>
    <row r="4" spans="1:1" s="14" customFormat="1" ht="15.75" x14ac:dyDescent="0.25">
      <c r="A4" s="15"/>
    </row>
    <row r="5" spans="1:1" s="14" customFormat="1" ht="15.75" x14ac:dyDescent="0.25">
      <c r="A5" s="15"/>
    </row>
    <row r="6" spans="1:1" s="14" customFormat="1" ht="15.75" x14ac:dyDescent="0.25">
      <c r="A6" s="15"/>
    </row>
    <row r="7" spans="1:1" ht="15.75" x14ac:dyDescent="0.25">
      <c r="A7" s="13" t="s">
        <v>31</v>
      </c>
    </row>
    <row r="8" spans="1:1" ht="15.75" x14ac:dyDescent="0.25">
      <c r="A8" s="13" t="s">
        <v>68</v>
      </c>
    </row>
    <row r="9" spans="1:1" ht="15.75" x14ac:dyDescent="0.25">
      <c r="A9" s="13" t="s">
        <v>66</v>
      </c>
    </row>
    <row r="10" spans="1:1" ht="15.75" x14ac:dyDescent="0.25">
      <c r="A10" s="13" t="s">
        <v>32</v>
      </c>
    </row>
    <row r="11" spans="1:1" ht="15.75" x14ac:dyDescent="0.25">
      <c r="A11" s="13" t="s">
        <v>33</v>
      </c>
    </row>
    <row r="12" spans="1:1" ht="15.75" x14ac:dyDescent="0.25">
      <c r="A12" s="13" t="s">
        <v>65</v>
      </c>
    </row>
    <row r="14" spans="1:1" x14ac:dyDescent="0.25">
      <c r="A14" s="23"/>
    </row>
    <row r="15" spans="1:1" x14ac:dyDescent="0.25">
      <c r="A15" s="23"/>
    </row>
    <row r="16" spans="1:1" x14ac:dyDescent="0.25">
      <c r="A16" s="23"/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938fc98f-d1dd-4f18-88d1-b56ade8ba642}" enabled="1" method="Standard" siteId="{b61676ce-c0be-4347-9af9-48129a8dccb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WIP</vt:lpstr>
      <vt:lpstr>Status</vt:lpstr>
      <vt:lpstr>Instruction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Patel</dc:creator>
  <cp:keywords/>
  <dc:description/>
  <cp:lastModifiedBy>Tirth Rathod</cp:lastModifiedBy>
  <cp:revision/>
  <dcterms:created xsi:type="dcterms:W3CDTF">2015-06-05T18:17:20Z</dcterms:created>
  <dcterms:modified xsi:type="dcterms:W3CDTF">2026-05-01T14:14:43Z</dcterms:modified>
  <cp:category/>
  <cp:contentStatus/>
</cp:coreProperties>
</file>