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Sandeep Chavda\"/>
    </mc:Choice>
  </mc:AlternateContent>
  <xr:revisionPtr revIDLastSave="0" documentId="13_ncr:1_{B445C93C-B0C2-43B5-816E-DC39D6B260A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</sheets>
  <definedNames>
    <definedName name="_xlnm._FilterDatabase" localSheetId="0" hidden="1">WIP!$B$7:$H$61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5" i="1" l="1"/>
  <c r="K65" i="1"/>
  <c r="K64" i="1"/>
  <c r="J59" i="1"/>
  <c r="I36" i="1"/>
  <c r="I35" i="1"/>
  <c r="I44" i="1"/>
  <c r="I37" i="1"/>
  <c r="I34" i="1"/>
  <c r="I45" i="1"/>
  <c r="I38" i="1"/>
  <c r="I39" i="1"/>
  <c r="K59" i="1"/>
  <c r="I31" i="1"/>
  <c r="I32" i="1"/>
  <c r="I33" i="1"/>
  <c r="J64" i="1"/>
  <c r="I59" i="1" l="1"/>
  <c r="I29" i="1"/>
  <c r="I42" i="1"/>
  <c r="I43" i="1"/>
  <c r="I30" i="1"/>
  <c r="I51" i="1"/>
  <c r="I52" i="1"/>
  <c r="I41" i="1"/>
  <c r="I53" i="1"/>
  <c r="I48" i="1"/>
  <c r="I54" i="1"/>
  <c r="I27" i="1"/>
  <c r="I55" i="1"/>
  <c r="I56" i="1"/>
  <c r="I28" i="1"/>
  <c r="I57" i="1"/>
  <c r="I19" i="1"/>
  <c r="I20" i="1"/>
  <c r="I21" i="1"/>
  <c r="I22" i="1"/>
  <c r="I47" i="1"/>
  <c r="I23" i="1"/>
  <c r="I46" i="1"/>
  <c r="I24" i="1"/>
  <c r="I25" i="1"/>
  <c r="I49" i="1"/>
  <c r="I50" i="1"/>
  <c r="I26" i="1"/>
  <c r="I11" i="1"/>
  <c r="I15" i="1"/>
  <c r="I10" i="1"/>
  <c r="I12" i="1"/>
  <c r="I13" i="1"/>
  <c r="I16" i="1"/>
  <c r="I14" i="1"/>
  <c r="I17" i="1"/>
  <c r="I18" i="1"/>
  <c r="I40" i="1"/>
  <c r="I58" i="1"/>
  <c r="I60" i="1"/>
  <c r="I67" i="1"/>
  <c r="I66" i="1"/>
  <c r="I65" i="1" l="1"/>
  <c r="I64" i="1"/>
  <c r="I9" i="1"/>
  <c r="J61" i="1"/>
  <c r="I61" i="1" l="1"/>
  <c r="N61" i="1"/>
  <c r="M61" i="1"/>
  <c r="L61" i="1"/>
  <c r="K61" i="1"/>
  <c r="N70" i="1"/>
  <c r="M70" i="1"/>
  <c r="L70" i="1"/>
  <c r="K70" i="1"/>
  <c r="K6" i="1"/>
  <c r="L6" i="1" s="1"/>
  <c r="M6" i="1" s="1"/>
  <c r="N6" i="1" s="1"/>
  <c r="K72" i="1" l="1"/>
  <c r="K76" i="1" s="1"/>
  <c r="M72" i="1"/>
  <c r="M76" i="1" s="1"/>
  <c r="N72" i="1"/>
  <c r="N76" i="1" s="1"/>
  <c r="L72" i="1"/>
  <c r="L76" i="1" s="1"/>
  <c r="I68" i="1"/>
  <c r="I70" i="1" s="1"/>
  <c r="I72" i="1" s="1"/>
  <c r="J70" i="1"/>
  <c r="J72" i="1" l="1"/>
  <c r="J76" i="1" s="1"/>
</calcChain>
</file>

<file path=xl/sharedStrings.xml><?xml version="1.0" encoding="utf-8"?>
<sst xmlns="http://schemas.openxmlformats.org/spreadsheetml/2006/main" count="288" uniqueCount="130">
  <si>
    <t>Work in Progress Report</t>
  </si>
  <si>
    <t xml:space="preserve">Name: </t>
  </si>
  <si>
    <t>Title:</t>
  </si>
  <si>
    <t>Manager Name:</t>
  </si>
  <si>
    <t>Week starting on --&gt;&gt;</t>
  </si>
  <si>
    <t>Sr #</t>
  </si>
  <si>
    <t>Client Name</t>
  </si>
  <si>
    <t>Project (sub-client)</t>
  </si>
  <si>
    <t>Work Item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</si>
  <si>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</si>
  <si>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</si>
  <si>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</si>
  <si>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</si>
  <si>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</si>
  <si>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</si>
  <si>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</si>
  <si>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</si>
  <si>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</si>
  <si>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</si>
  <si>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Accounts Payable / Receivable Management</t>
  </si>
  <si>
    <t>Completed</t>
  </si>
  <si>
    <t>Not Started</t>
  </si>
  <si>
    <t>Bookkeeping Management</t>
  </si>
  <si>
    <t>Awaiting Documents / Information</t>
  </si>
  <si>
    <t>In Preparation</t>
  </si>
  <si>
    <t>Month-End / Quarter-End Close Management</t>
  </si>
  <si>
    <t>Payroll Management</t>
  </si>
  <si>
    <t>Client Meetings and Communication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</si>
  <si>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</si>
  <si>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</si>
  <si>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</si>
  <si>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</si>
  <si>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</si>
  <si>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</si>
  <si>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</si>
  <si>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</si>
  <si>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</si>
  <si>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</si>
  <si>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</si>
  <si>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Purpose (Suggested Comment)</t>
  </si>
  <si>
    <t>1099 Management</t>
  </si>
  <si>
    <t>Any work performed related to 1099, including calculation, filing, and W-9 updates.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</si>
  <si>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</si>
  <si>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</si>
  <si>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</si>
  <si>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</si>
  <si>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Month-end/Quarter-end book review, financial statement preparation, and reporting.</t>
  </si>
  <si>
    <t>Payroll processing, working, posting, and reconciliation.</t>
  </si>
  <si>
    <t>Sales Tax Management</t>
  </si>
  <si>
    <t>Sales tax calculation and filing.</t>
  </si>
  <si>
    <t>Client call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</si>
  <si>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</si>
  <si>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</si>
  <si>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</si>
  <si>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</si>
  <si>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Pending required documents or information from the client, which is preventing progress on the task.</t>
  </si>
  <si>
    <t>Ready to Work</t>
  </si>
  <si>
    <t>All necessary documents and information have been received; the task is ready to begin.</t>
  </si>
  <si>
    <t>Work is currently in progress.</t>
  </si>
  <si>
    <t>In Review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</si>
  <si>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</si>
  <si>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</si>
  <si>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</si>
  <si>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</si>
  <si>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On Hold</t>
  </si>
  <si>
    <t>Work is put on hold as per client instruction until approval is received to restart.</t>
  </si>
  <si>
    <t>Points to be considered while updating the tracker</t>
  </si>
  <si>
    <t>Please update below Information as per ZOHO only.</t>
  </si>
  <si>
    <t>Always use Sr. no. when inputting data (If there is no data, don't write sr. no).</t>
  </si>
  <si>
    <t>Weeks should start from column "J6" - Don't change sequence (K6,L6,M6 will update automatically).</t>
  </si>
  <si>
    <t>Work Item and Status (Yellow Highlighted) should be selected from drop down , do let us know if you need to add anything </t>
  </si>
  <si>
    <t>Don't leave any row blank in between (if require you can add a row in between)</t>
  </si>
  <si>
    <t>Don’t add or delete any column</t>
  </si>
  <si>
    <t>Please enter Client name and Project strictly as mention on ZOHO</t>
  </si>
  <si>
    <t>Jebran &amp; Abraham PC</t>
  </si>
  <si>
    <t>PC Mae Inc</t>
  </si>
  <si>
    <t>Win Far Inc</t>
  </si>
  <si>
    <t>75 Cabinet Inc</t>
  </si>
  <si>
    <t>Cabinetry Place LLC</t>
  </si>
  <si>
    <t>Cabinetry Road LLC</t>
  </si>
  <si>
    <t>Cabinetry Way.com</t>
  </si>
  <si>
    <t>Simply Cabinetry Franchising</t>
  </si>
  <si>
    <t>Warrington Community Ambulance Corps</t>
  </si>
  <si>
    <t>The Colonnade Historic Condominium Association</t>
  </si>
  <si>
    <t>WideOpen LLC</t>
  </si>
  <si>
    <t>Inward Bloom Wellness</t>
  </si>
  <si>
    <t>Blowfish Smoke Solutions LLC</t>
  </si>
  <si>
    <t>Boku Inc</t>
  </si>
  <si>
    <t>Rajendra Gadariya</t>
  </si>
  <si>
    <t>Juniortine Production LLC</t>
  </si>
  <si>
    <t>Bucks Hardwood Floor</t>
  </si>
  <si>
    <t>Shawn Martin LLC</t>
  </si>
  <si>
    <t xml:space="preserve">ProCare Associates </t>
  </si>
  <si>
    <t>Bucks Health Management</t>
  </si>
  <si>
    <t>Bucks Dental Health and Esthetics</t>
  </si>
  <si>
    <t>Bucks Real Estate</t>
  </si>
  <si>
    <t>True Colorz</t>
  </si>
  <si>
    <t>Heather Bleu</t>
  </si>
  <si>
    <t>Chalfont Vet</t>
  </si>
  <si>
    <t>Intimacy Directors and Coordinators (IDC)</t>
  </si>
  <si>
    <t xml:space="preserve">Van Go </t>
  </si>
  <si>
    <t>Sandeepkumar Chavda</t>
  </si>
  <si>
    <t>Supervisor</t>
  </si>
  <si>
    <t>Snow Solutions Inc</t>
  </si>
  <si>
    <t>Snow Busters Inc</t>
  </si>
  <si>
    <t>NE Contractors</t>
  </si>
  <si>
    <t>Xtream Contracting</t>
  </si>
  <si>
    <t>Capital Insurance</t>
  </si>
  <si>
    <t>Sopranos</t>
  </si>
  <si>
    <t>Thames Education</t>
  </si>
  <si>
    <t>YT Horsehoeing</t>
  </si>
  <si>
    <t>Nexus Supply</t>
  </si>
  <si>
    <t>Joseph Turco Plumbing</t>
  </si>
  <si>
    <t>Danny Cooper Basketball</t>
  </si>
  <si>
    <t>Week 5</t>
  </si>
  <si>
    <t>D&amp;A Homecare</t>
  </si>
  <si>
    <t>ATM Inspections</t>
  </si>
  <si>
    <t>Atlantic Technical Management</t>
  </si>
  <si>
    <t>Horsham Fire</t>
  </si>
  <si>
    <t>Up in the AIr Balloons Franchise</t>
  </si>
  <si>
    <t>Stay Gold</t>
  </si>
  <si>
    <t>Up in the AIr Balloons</t>
  </si>
  <si>
    <t>Stay Gold LLC</t>
  </si>
  <si>
    <t xml:space="preserve">Bagel &amp; Bread </t>
  </si>
  <si>
    <t>Hounds Town</t>
  </si>
  <si>
    <t>KLC Holdings (Related to Bagel &amp; Bread)</t>
  </si>
  <si>
    <t>Mistrano Dossantos</t>
  </si>
  <si>
    <t>Pollock Herb &amp; Vitamin</t>
  </si>
  <si>
    <t xml:space="preserve">Providence Community </t>
  </si>
  <si>
    <t>Warrington Township Fire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</si>
</sst>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14" fontId="0" fillId="7" borderId="0" xfId="0" applyNumberFormat="1" applyFill="1"/>
    <xf numFmtId="43" fontId="0" fillId="5" borderId="0" xfId="1" applyFont="1" applyFill="1"/>
    <xf numFmtId="43" fontId="1" fillId="5" borderId="1" xfId="1" applyFont="1" applyFill="1" applyBorder="1"/>
    <xf numFmtId="43" fontId="3" fillId="5" borderId="0" xfId="1" applyFont="1" applyFill="1"/>
    <xf numFmtId="43" fontId="3" fillId="0" borderId="0" xfId="1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3" fontId="0" fillId="5" borderId="0" xfId="1" applyFont="1" applyFill="1" applyAlignment="1">
      <alignment vertical="center"/>
    </xf>
    <xf numFmtId="43" fontId="0" fillId="0" borderId="0" xfId="1" applyFont="1" applyAlignment="1">
      <alignment vertical="center"/>
    </xf>
    <xf numFmtId="0" fontId="8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190500</xdr:rowOff>
    </xdr:from>
    <xdr:to>
      <xdr:col>0</xdr:col>
      <xdr:colOff>3305630</xdr:colOff>
      <xdr:row>5</xdr:row>
      <xdr:rowOff>142952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60007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7"/>
  <sheetViews>
    <sheetView tabSelected="1" zoomScaleNormal="100" workbookViewId="0">
      <pane xSplit="3" topLeftCell="D1" activePane="topRight" state="frozen"/>
      <selection pane="topRight" activeCell="E3" sqref="E3"/>
    </sheetView>
  </sheetViews>
  <sheetFormatPr defaultRowHeight="15" x14ac:dyDescent="0.25"/>
  <cols>
    <col min="1" max="1" width="18.5703125" customWidth="1"/>
    <col min="2" max="2" width="32.28515625" bestFit="1" customWidth="1"/>
    <col min="3" max="3" width="30.28515625" bestFit="1" customWidth="1"/>
    <col min="4" max="4" width="31.85546875" customWidth="1"/>
    <col min="5" max="6" width="11.7109375" customWidth="1"/>
    <col min="7" max="7" width="13.140625" customWidth="1"/>
    <col min="8" max="8" width="17.5703125" customWidth="1"/>
    <col min="9" max="9" width="8.42578125" customWidth="1"/>
    <col min="10" max="12" width="10.7109375" bestFit="1" customWidth="1"/>
    <col min="13" max="13" width="10.7109375" customWidth="1"/>
    <col min="14" max="14" width="10.7109375" bestFit="1" customWidth="1"/>
  </cols>
  <sheetData>
    <row r="1" spans="1:14" x14ac:dyDescent="0.25">
      <c r="A1" s="1" t="s">
        <v>0</v>
      </c>
      <c r="H1" s="11"/>
    </row>
    <row r="2" spans="1:14" x14ac:dyDescent="0.25">
      <c r="A2" s="1" t="s">
        <v>1</v>
      </c>
      <c r="B2" s="9" t="s">
        <v>88</v>
      </c>
      <c r="C2" s="9"/>
      <c r="H2" s="1"/>
      <c r="I2" s="1"/>
      <c r="J2" s="10"/>
      <c r="K2" s="10"/>
      <c r="L2" s="10"/>
      <c r="M2" s="10"/>
    </row>
    <row r="3" spans="1:14" x14ac:dyDescent="0.25">
      <c r="A3" s="1" t="s">
        <v>2</v>
      </c>
      <c r="B3" s="9" t="s">
        <v>102</v>
      </c>
      <c r="C3" s="9"/>
      <c r="H3" s="1"/>
      <c r="I3" s="1"/>
      <c r="J3" s="10"/>
      <c r="K3" s="10"/>
      <c r="L3" s="10"/>
      <c r="M3" s="10"/>
    </row>
    <row r="4" spans="1:14" x14ac:dyDescent="0.25">
      <c r="A4" s="1" t="s">
        <v>3</v>
      </c>
      <c r="B4" s="9" t="s">
        <v>101</v>
      </c>
      <c r="C4" s="9"/>
      <c r="H4" s="1"/>
      <c r="I4" s="1"/>
      <c r="J4" s="10"/>
      <c r="K4" s="10"/>
      <c r="L4" s="10"/>
      <c r="M4" s="10"/>
    </row>
    <row r="5" spans="1:14" x14ac:dyDescent="0.25">
      <c r="A5" s="1"/>
      <c r="B5" s="9"/>
      <c r="C5" s="9"/>
    </row>
    <row r="6" spans="1:14" x14ac:dyDescent="0.25">
      <c r="I6" s="7" t="s">
        <v>4</v>
      </c>
      <c r="J6" s="26">
        <v>46146</v>
      </c>
      <c r="K6" s="2">
        <f>J6+7</f>
        <v>46153</v>
      </c>
      <c r="L6" s="2">
        <f>K6+7</f>
        <v>46160</v>
      </c>
      <c r="M6" s="2">
        <f>L6+7</f>
        <v>46167</v>
      </c>
      <c r="N6" s="2">
        <f>M6+7</f>
        <v>46174</v>
      </c>
    </row>
    <row r="7" spans="1:14" s="1" customFormat="1" ht="30" x14ac:dyDescent="0.25">
      <c r="A7" s="3" t="s">
        <v>5</v>
      </c>
      <c r="B7" s="3" t="s">
        <v>6</v>
      </c>
      <c r="C7" s="3" t="s">
        <v>7</v>
      </c>
      <c r="D7" s="23" t="s">
        <v>8</v>
      </c>
      <c r="E7" s="3" t="s">
        <v>9</v>
      </c>
      <c r="F7" s="3" t="s">
        <v>10</v>
      </c>
      <c r="G7" s="3" t="s">
        <v>11</v>
      </c>
      <c r="H7" s="23" t="s">
        <v>12</v>
      </c>
      <c r="I7" s="23" t="s">
        <v>13</v>
      </c>
      <c r="J7" s="3" t="s">
        <v>14</v>
      </c>
      <c r="K7" s="3" t="s">
        <v>15</v>
      </c>
      <c r="L7" s="3" t="s">
        <v>16</v>
      </c>
      <c r="M7" s="3" t="s">
        <v>17</v>
      </c>
      <c r="N7" s="3" t="s">
        <v>114</v>
      </c>
    </row>
    <row r="8" spans="1:14" x14ac:dyDescent="0.25">
      <c r="A8" s="6" t="s">
        <v>18</v>
      </c>
      <c r="B8" s="4"/>
      <c r="C8" s="4"/>
      <c r="D8" s="23"/>
      <c r="E8" s="4"/>
      <c r="F8" s="4"/>
      <c r="G8" s="4"/>
      <c r="H8" s="23"/>
      <c r="I8" s="23"/>
      <c r="J8" s="4"/>
      <c r="K8" s="4"/>
      <c r="L8" s="4"/>
      <c r="M8" s="4"/>
      <c r="N8" s="5"/>
    </row>
    <row r="9" spans="1:14" x14ac:dyDescent="0.25">
      <c r="A9">
        <v>1</v>
      </c>
      <c r="B9" s="35" t="s">
        <v>74</v>
      </c>
      <c r="C9" t="s">
        <v>75</v>
      </c>
      <c r="D9" s="24" t="s">
        <v>22</v>
      </c>
      <c r="E9" s="2">
        <v>46142</v>
      </c>
      <c r="F9" s="2">
        <v>46173</v>
      </c>
      <c r="G9" s="2"/>
      <c r="H9" s="24" t="s">
        <v>21</v>
      </c>
      <c r="I9" s="27">
        <f t="shared" ref="I9:I40" si="0">SUM(J9:N9)</f>
        <v>6</v>
      </c>
      <c r="J9" s="13">
        <v>3</v>
      </c>
      <c r="K9" s="13">
        <v>3</v>
      </c>
      <c r="L9" s="13"/>
      <c r="M9" s="13"/>
      <c r="N9" s="13"/>
    </row>
    <row r="10" spans="1:14" x14ac:dyDescent="0.25">
      <c r="A10">
        <v>2</v>
      </c>
      <c r="B10" s="35" t="s">
        <v>74</v>
      </c>
      <c r="C10" t="s">
        <v>76</v>
      </c>
      <c r="D10" s="24" t="s">
        <v>22</v>
      </c>
      <c r="E10" s="2">
        <v>46142</v>
      </c>
      <c r="F10" s="2">
        <v>46173</v>
      </c>
      <c r="G10" s="2"/>
      <c r="H10" s="24" t="s">
        <v>21</v>
      </c>
      <c r="I10" s="27">
        <f t="shared" si="0"/>
        <v>4</v>
      </c>
      <c r="J10" s="13">
        <v>4</v>
      </c>
      <c r="K10" s="13"/>
      <c r="L10" s="13"/>
      <c r="M10" s="13"/>
      <c r="N10" s="13"/>
    </row>
    <row r="11" spans="1:14" x14ac:dyDescent="0.25">
      <c r="A11">
        <v>3</v>
      </c>
      <c r="B11" s="35" t="s">
        <v>74</v>
      </c>
      <c r="C11" t="s">
        <v>78</v>
      </c>
      <c r="D11" s="24" t="s">
        <v>22</v>
      </c>
      <c r="E11" s="2">
        <v>46142</v>
      </c>
      <c r="F11" s="2">
        <v>46173</v>
      </c>
      <c r="G11" s="2"/>
      <c r="H11" s="24" t="s">
        <v>21</v>
      </c>
      <c r="I11" s="29">
        <f t="shared" si="0"/>
        <v>4</v>
      </c>
      <c r="J11" s="30">
        <v>2.5</v>
      </c>
      <c r="K11" s="30">
        <v>1.5</v>
      </c>
      <c r="L11" s="30"/>
      <c r="M11" s="30"/>
      <c r="N11" s="30"/>
    </row>
    <row r="12" spans="1:14" x14ac:dyDescent="0.25">
      <c r="A12">
        <v>4</v>
      </c>
      <c r="B12" s="35" t="s">
        <v>74</v>
      </c>
      <c r="C12" t="s">
        <v>79</v>
      </c>
      <c r="D12" s="24" t="s">
        <v>22</v>
      </c>
      <c r="E12" s="2">
        <v>46142</v>
      </c>
      <c r="F12" s="2">
        <v>46173</v>
      </c>
      <c r="G12" s="2"/>
      <c r="H12" s="24" t="s">
        <v>21</v>
      </c>
      <c r="I12" s="29">
        <f t="shared" si="0"/>
        <v>4</v>
      </c>
      <c r="J12" s="30">
        <v>2.5</v>
      </c>
      <c r="K12" s="30">
        <v>1.5</v>
      </c>
      <c r="L12" s="30"/>
      <c r="M12" s="30"/>
      <c r="N12" s="30"/>
    </row>
    <row r="13" spans="1:14" x14ac:dyDescent="0.25">
      <c r="A13">
        <v>5</v>
      </c>
      <c r="B13" s="35" t="s">
        <v>74</v>
      </c>
      <c r="C13" t="s">
        <v>80</v>
      </c>
      <c r="D13" s="24" t="s">
        <v>22</v>
      </c>
      <c r="E13" s="2">
        <v>46142</v>
      </c>
      <c r="F13" s="2">
        <v>46173</v>
      </c>
      <c r="G13" s="2"/>
      <c r="H13" s="24" t="s">
        <v>21</v>
      </c>
      <c r="I13" s="29">
        <f t="shared" si="0"/>
        <v>4</v>
      </c>
      <c r="J13" s="30">
        <v>2.5</v>
      </c>
      <c r="K13" s="30">
        <v>1.5</v>
      </c>
      <c r="L13" s="30"/>
      <c r="M13" s="30"/>
      <c r="N13" s="30"/>
    </row>
    <row r="14" spans="1:14" x14ac:dyDescent="0.25">
      <c r="A14">
        <v>6</v>
      </c>
      <c r="B14" s="35" t="s">
        <v>74</v>
      </c>
      <c r="C14" t="s">
        <v>81</v>
      </c>
      <c r="D14" s="24" t="s">
        <v>22</v>
      </c>
      <c r="E14" s="2">
        <v>46142</v>
      </c>
      <c r="F14" s="2">
        <v>46173</v>
      </c>
      <c r="G14" s="2"/>
      <c r="H14" s="24" t="s">
        <v>21</v>
      </c>
      <c r="I14" s="27">
        <f t="shared" si="0"/>
        <v>4</v>
      </c>
      <c r="J14" s="30">
        <v>2.5</v>
      </c>
      <c r="K14" s="30">
        <v>1.5</v>
      </c>
      <c r="L14" s="30"/>
      <c r="M14" s="30"/>
      <c r="N14" s="30"/>
    </row>
    <row r="15" spans="1:14" x14ac:dyDescent="0.25">
      <c r="A15">
        <v>7</v>
      </c>
      <c r="B15" s="35" t="s">
        <v>74</v>
      </c>
      <c r="C15" t="s">
        <v>77</v>
      </c>
      <c r="D15" s="24" t="s">
        <v>22</v>
      </c>
      <c r="E15" s="2">
        <v>46142</v>
      </c>
      <c r="F15" s="2">
        <v>46173</v>
      </c>
      <c r="G15" s="2"/>
      <c r="H15" s="24" t="s">
        <v>21</v>
      </c>
      <c r="I15" s="29">
        <f t="shared" si="0"/>
        <v>4</v>
      </c>
      <c r="J15" s="30">
        <v>2.5</v>
      </c>
      <c r="K15" s="30">
        <v>1.5</v>
      </c>
      <c r="L15" s="13"/>
      <c r="M15" s="13"/>
      <c r="N15" s="13"/>
    </row>
    <row r="16" spans="1:14" x14ac:dyDescent="0.25">
      <c r="A16">
        <v>8</v>
      </c>
      <c r="B16" s="35" t="s">
        <v>74</v>
      </c>
      <c r="C16" t="s">
        <v>82</v>
      </c>
      <c r="D16" s="24" t="s">
        <v>22</v>
      </c>
      <c r="E16" s="2">
        <v>46142</v>
      </c>
      <c r="F16" s="2">
        <v>46173</v>
      </c>
      <c r="G16" s="2"/>
      <c r="H16" s="24" t="s">
        <v>21</v>
      </c>
      <c r="I16" s="27">
        <f t="shared" si="0"/>
        <v>8</v>
      </c>
      <c r="J16" s="30">
        <v>6</v>
      </c>
      <c r="K16" s="13">
        <v>2</v>
      </c>
      <c r="L16" s="13"/>
      <c r="M16" s="13"/>
      <c r="N16" s="13"/>
    </row>
    <row r="17" spans="1:14" x14ac:dyDescent="0.25">
      <c r="A17">
        <v>9</v>
      </c>
      <c r="B17" s="35" t="s">
        <v>74</v>
      </c>
      <c r="C17" t="s">
        <v>83</v>
      </c>
      <c r="D17" s="24" t="s">
        <v>22</v>
      </c>
      <c r="E17" s="2">
        <v>46142</v>
      </c>
      <c r="F17" s="2">
        <v>46173</v>
      </c>
      <c r="G17" s="2"/>
      <c r="H17" s="24" t="s">
        <v>21</v>
      </c>
      <c r="I17" s="27">
        <f t="shared" si="0"/>
        <v>3</v>
      </c>
      <c r="J17" s="30">
        <v>3</v>
      </c>
      <c r="K17" s="13"/>
      <c r="L17" s="13"/>
      <c r="M17" s="13"/>
      <c r="N17" s="13"/>
    </row>
    <row r="18" spans="1:14" x14ac:dyDescent="0.25">
      <c r="A18">
        <v>10</v>
      </c>
      <c r="B18" s="35" t="s">
        <v>74</v>
      </c>
      <c r="C18" t="s">
        <v>84</v>
      </c>
      <c r="D18" s="24" t="s">
        <v>22</v>
      </c>
      <c r="E18" s="2">
        <v>46142</v>
      </c>
      <c r="F18" s="2">
        <v>46173</v>
      </c>
      <c r="G18" s="2"/>
      <c r="H18" s="24" t="s">
        <v>21</v>
      </c>
      <c r="I18" s="27">
        <f t="shared" si="0"/>
        <v>0</v>
      </c>
      <c r="J18" s="13"/>
      <c r="K18" s="13"/>
      <c r="L18" s="13"/>
      <c r="M18" s="13"/>
      <c r="N18" s="13"/>
    </row>
    <row r="19" spans="1:14" x14ac:dyDescent="0.25">
      <c r="A19">
        <v>11</v>
      </c>
      <c r="B19" s="35" t="s">
        <v>74</v>
      </c>
      <c r="C19" t="s">
        <v>89</v>
      </c>
      <c r="D19" s="24" t="s">
        <v>25</v>
      </c>
      <c r="E19" s="2">
        <v>46142</v>
      </c>
      <c r="F19" s="2">
        <v>46173</v>
      </c>
      <c r="G19" s="2"/>
      <c r="H19" s="24" t="s">
        <v>21</v>
      </c>
      <c r="I19" s="27">
        <f t="shared" si="0"/>
        <v>0</v>
      </c>
      <c r="J19" s="13"/>
      <c r="K19" s="13"/>
      <c r="L19" s="13"/>
      <c r="M19" s="13"/>
      <c r="N19" s="13"/>
    </row>
    <row r="20" spans="1:14" x14ac:dyDescent="0.25">
      <c r="A20">
        <v>12</v>
      </c>
      <c r="B20" s="35" t="s">
        <v>74</v>
      </c>
      <c r="C20" t="s">
        <v>90</v>
      </c>
      <c r="D20" s="24" t="s">
        <v>25</v>
      </c>
      <c r="E20" s="2">
        <v>46142</v>
      </c>
      <c r="F20" s="2">
        <v>46173</v>
      </c>
      <c r="G20" s="2"/>
      <c r="H20" s="24" t="s">
        <v>21</v>
      </c>
      <c r="I20" s="27">
        <f t="shared" si="0"/>
        <v>0</v>
      </c>
      <c r="J20" s="13"/>
      <c r="K20" s="13"/>
      <c r="L20" s="13"/>
      <c r="M20" s="13"/>
      <c r="N20" s="13"/>
    </row>
    <row r="21" spans="1:14" x14ac:dyDescent="0.25">
      <c r="A21">
        <v>13</v>
      </c>
      <c r="B21" s="35" t="s">
        <v>74</v>
      </c>
      <c r="C21" t="s">
        <v>91</v>
      </c>
      <c r="D21" s="24" t="s">
        <v>25</v>
      </c>
      <c r="E21" s="2">
        <v>46142</v>
      </c>
      <c r="F21" s="2">
        <v>46173</v>
      </c>
      <c r="G21" s="2"/>
      <c r="H21" s="24" t="s">
        <v>21</v>
      </c>
      <c r="I21" s="27">
        <f t="shared" si="0"/>
        <v>0</v>
      </c>
      <c r="J21" s="13"/>
      <c r="K21" s="13"/>
      <c r="L21" s="13"/>
      <c r="M21" s="13"/>
      <c r="N21" s="13"/>
    </row>
    <row r="22" spans="1:14" x14ac:dyDescent="0.25">
      <c r="A22">
        <v>14</v>
      </c>
      <c r="B22" s="35" t="s">
        <v>74</v>
      </c>
      <c r="C22" t="s">
        <v>92</v>
      </c>
      <c r="D22" s="24" t="s">
        <v>25</v>
      </c>
      <c r="E22" s="2">
        <v>46142</v>
      </c>
      <c r="F22" s="2">
        <v>46173</v>
      </c>
      <c r="G22" s="2"/>
      <c r="H22" s="24" t="s">
        <v>21</v>
      </c>
      <c r="I22" s="27">
        <f t="shared" si="0"/>
        <v>0</v>
      </c>
      <c r="J22" s="13"/>
      <c r="K22" s="13"/>
      <c r="L22" s="13"/>
      <c r="M22" s="13"/>
      <c r="N22" s="13"/>
    </row>
    <row r="23" spans="1:14" x14ac:dyDescent="0.25">
      <c r="A23">
        <v>15</v>
      </c>
      <c r="B23" s="35" t="s">
        <v>74</v>
      </c>
      <c r="C23" t="s">
        <v>94</v>
      </c>
      <c r="D23" s="24" t="s">
        <v>25</v>
      </c>
      <c r="E23" s="2">
        <v>46142</v>
      </c>
      <c r="F23" s="2">
        <v>46173</v>
      </c>
      <c r="G23" s="2"/>
      <c r="H23" s="24" t="s">
        <v>21</v>
      </c>
      <c r="I23" s="27">
        <f t="shared" si="0"/>
        <v>0</v>
      </c>
      <c r="J23" s="13"/>
      <c r="K23" s="13"/>
      <c r="L23" s="13"/>
      <c r="M23" s="13"/>
      <c r="N23" s="13"/>
    </row>
    <row r="24" spans="1:14" x14ac:dyDescent="0.25">
      <c r="A24">
        <v>16</v>
      </c>
      <c r="B24" s="35" t="s">
        <v>74</v>
      </c>
      <c r="C24" t="s">
        <v>96</v>
      </c>
      <c r="D24" s="24" t="s">
        <v>25</v>
      </c>
      <c r="E24" s="2">
        <v>46142</v>
      </c>
      <c r="F24" s="2">
        <v>46173</v>
      </c>
      <c r="G24" s="2"/>
      <c r="H24" s="24" t="s">
        <v>21</v>
      </c>
      <c r="I24" s="27">
        <f t="shared" si="0"/>
        <v>0</v>
      </c>
      <c r="J24" s="13"/>
      <c r="K24" s="13"/>
      <c r="L24" s="13"/>
      <c r="M24" s="13"/>
      <c r="N24" s="13"/>
    </row>
    <row r="25" spans="1:14" x14ac:dyDescent="0.25">
      <c r="A25">
        <v>17</v>
      </c>
      <c r="B25" s="35" t="s">
        <v>74</v>
      </c>
      <c r="C25" t="s">
        <v>97</v>
      </c>
      <c r="D25" s="24" t="s">
        <v>25</v>
      </c>
      <c r="E25" s="2">
        <v>46142</v>
      </c>
      <c r="F25" s="2">
        <v>46173</v>
      </c>
      <c r="G25" s="2"/>
      <c r="H25" s="24" t="s">
        <v>21</v>
      </c>
      <c r="I25" s="27">
        <f t="shared" si="0"/>
        <v>0</v>
      </c>
      <c r="J25" s="13"/>
      <c r="K25" s="13"/>
      <c r="L25" s="13"/>
      <c r="M25" s="13"/>
      <c r="N25" s="13"/>
    </row>
    <row r="26" spans="1:14" x14ac:dyDescent="0.25">
      <c r="A26">
        <v>18</v>
      </c>
      <c r="B26" s="35" t="s">
        <v>74</v>
      </c>
      <c r="C26" t="s">
        <v>100</v>
      </c>
      <c r="D26" s="24" t="s">
        <v>25</v>
      </c>
      <c r="E26" s="2">
        <v>46142</v>
      </c>
      <c r="F26" s="2">
        <v>46173</v>
      </c>
      <c r="G26" s="2"/>
      <c r="H26" s="24" t="s">
        <v>21</v>
      </c>
      <c r="I26" s="27">
        <f t="shared" si="0"/>
        <v>0</v>
      </c>
      <c r="J26" s="13"/>
      <c r="K26" s="13"/>
      <c r="L26" s="13"/>
      <c r="M26" s="13"/>
      <c r="N26" s="13"/>
    </row>
    <row r="27" spans="1:14" x14ac:dyDescent="0.25">
      <c r="A27">
        <v>19</v>
      </c>
      <c r="B27" s="35" t="s">
        <v>74</v>
      </c>
      <c r="C27" t="s">
        <v>109</v>
      </c>
      <c r="D27" s="24" t="s">
        <v>25</v>
      </c>
      <c r="E27" s="2">
        <v>46142</v>
      </c>
      <c r="F27" s="2">
        <v>46173</v>
      </c>
      <c r="G27" s="2"/>
      <c r="H27" s="24" t="s">
        <v>21</v>
      </c>
      <c r="I27" s="27">
        <f t="shared" si="0"/>
        <v>0</v>
      </c>
      <c r="J27" s="13"/>
      <c r="K27" s="13"/>
      <c r="L27" s="13"/>
      <c r="M27" s="13"/>
      <c r="N27" s="13"/>
    </row>
    <row r="28" spans="1:14" x14ac:dyDescent="0.25">
      <c r="A28">
        <v>20</v>
      </c>
      <c r="B28" s="35" t="s">
        <v>74</v>
      </c>
      <c r="C28" t="s">
        <v>112</v>
      </c>
      <c r="D28" s="24" t="s">
        <v>25</v>
      </c>
      <c r="E28" s="2">
        <v>46142</v>
      </c>
      <c r="F28" s="2">
        <v>46173</v>
      </c>
      <c r="G28" s="2"/>
      <c r="H28" s="24" t="s">
        <v>21</v>
      </c>
      <c r="I28" s="27">
        <f t="shared" si="0"/>
        <v>0</v>
      </c>
      <c r="J28" s="13"/>
      <c r="K28" s="13"/>
      <c r="L28" s="13"/>
      <c r="M28" s="13"/>
      <c r="N28" s="13"/>
    </row>
    <row r="29" spans="1:14" x14ac:dyDescent="0.25">
      <c r="A29">
        <v>21</v>
      </c>
      <c r="B29" s="35" t="s">
        <v>74</v>
      </c>
      <c r="C29" t="s">
        <v>115</v>
      </c>
      <c r="D29" s="24" t="s">
        <v>25</v>
      </c>
      <c r="E29" s="2">
        <v>46142</v>
      </c>
      <c r="F29" s="2">
        <v>46173</v>
      </c>
      <c r="G29" s="2"/>
      <c r="H29" s="24" t="s">
        <v>21</v>
      </c>
      <c r="I29" s="27">
        <f t="shared" si="0"/>
        <v>3</v>
      </c>
      <c r="J29" s="13">
        <v>3</v>
      </c>
      <c r="K29" s="13"/>
      <c r="L29" s="13"/>
      <c r="M29" s="13"/>
      <c r="N29" s="13"/>
    </row>
    <row r="30" spans="1:14" x14ac:dyDescent="0.25">
      <c r="A30">
        <v>22</v>
      </c>
      <c r="B30" s="35" t="s">
        <v>74</v>
      </c>
      <c r="C30" t="s">
        <v>118</v>
      </c>
      <c r="D30" s="24" t="s">
        <v>25</v>
      </c>
      <c r="E30" s="2">
        <v>46142</v>
      </c>
      <c r="F30" s="2">
        <v>46173</v>
      </c>
      <c r="G30" s="2"/>
      <c r="H30" s="24" t="s">
        <v>21</v>
      </c>
      <c r="I30" s="27">
        <f t="shared" si="0"/>
        <v>3</v>
      </c>
      <c r="J30" s="13">
        <v>3</v>
      </c>
      <c r="K30" s="13"/>
      <c r="L30" s="13"/>
      <c r="M30" s="13"/>
      <c r="N30" s="13"/>
    </row>
    <row r="31" spans="1:14" x14ac:dyDescent="0.25">
      <c r="A31">
        <v>23</v>
      </c>
      <c r="B31" s="35" t="s">
        <v>74</v>
      </c>
      <c r="C31" t="s">
        <v>121</v>
      </c>
      <c r="D31" s="24" t="s">
        <v>25</v>
      </c>
      <c r="E31" s="2">
        <v>46142</v>
      </c>
      <c r="F31" s="2">
        <v>46173</v>
      </c>
      <c r="G31" s="2"/>
      <c r="H31" s="24" t="s">
        <v>21</v>
      </c>
      <c r="I31" s="27">
        <f t="shared" si="0"/>
        <v>0</v>
      </c>
      <c r="J31" s="13"/>
      <c r="K31" s="13"/>
      <c r="L31" s="13"/>
      <c r="M31" s="13"/>
      <c r="N31" s="13"/>
    </row>
    <row r="32" spans="1:14" x14ac:dyDescent="0.25">
      <c r="A32">
        <v>24</v>
      </c>
      <c r="B32" s="35" t="s">
        <v>74</v>
      </c>
      <c r="C32" t="s">
        <v>119</v>
      </c>
      <c r="D32" s="24" t="s">
        <v>25</v>
      </c>
      <c r="E32" s="2">
        <v>46142</v>
      </c>
      <c r="F32" s="2">
        <v>46173</v>
      </c>
      <c r="G32" s="2"/>
      <c r="H32" s="24" t="s">
        <v>21</v>
      </c>
      <c r="I32" s="27">
        <f t="shared" si="0"/>
        <v>0</v>
      </c>
      <c r="J32" s="13"/>
      <c r="K32" s="13"/>
      <c r="L32" s="13"/>
      <c r="M32" s="13"/>
      <c r="N32" s="13"/>
    </row>
    <row r="33" spans="1:14" x14ac:dyDescent="0.25">
      <c r="A33">
        <v>25</v>
      </c>
      <c r="B33" s="35" t="s">
        <v>74</v>
      </c>
      <c r="C33" t="s">
        <v>122</v>
      </c>
      <c r="D33" s="24" t="s">
        <v>25</v>
      </c>
      <c r="E33" s="2">
        <v>46142</v>
      </c>
      <c r="F33" s="2">
        <v>46173</v>
      </c>
      <c r="G33" s="2"/>
      <c r="H33" s="24" t="s">
        <v>21</v>
      </c>
      <c r="I33" s="27">
        <f t="shared" si="0"/>
        <v>0</v>
      </c>
      <c r="J33" s="13"/>
      <c r="K33" s="13"/>
      <c r="L33" s="13"/>
      <c r="M33" s="13"/>
      <c r="N33" s="13"/>
    </row>
    <row r="34" spans="1:14" x14ac:dyDescent="0.25">
      <c r="A34">
        <v>26</v>
      </c>
      <c r="B34" s="35" t="s">
        <v>74</v>
      </c>
      <c r="C34" t="s">
        <v>127</v>
      </c>
      <c r="D34" s="24" t="s">
        <v>25</v>
      </c>
      <c r="E34" s="2">
        <v>46142</v>
      </c>
      <c r="F34" s="2">
        <v>46173</v>
      </c>
      <c r="G34" s="2"/>
      <c r="H34" s="24" t="s">
        <v>21</v>
      </c>
      <c r="I34" s="27">
        <f t="shared" si="0"/>
        <v>0</v>
      </c>
      <c r="J34" s="13"/>
      <c r="K34" s="13"/>
      <c r="L34" s="13"/>
      <c r="M34" s="13"/>
      <c r="N34" s="13"/>
    </row>
    <row r="35" spans="1:14" x14ac:dyDescent="0.25">
      <c r="A35">
        <v>27</v>
      </c>
      <c r="B35" s="35" t="s">
        <v>74</v>
      </c>
      <c r="C35" t="s">
        <v>124</v>
      </c>
      <c r="D35" s="24" t="s">
        <v>25</v>
      </c>
      <c r="E35" s="2">
        <v>46142</v>
      </c>
      <c r="F35" s="2">
        <v>46173</v>
      </c>
      <c r="G35" s="2"/>
      <c r="H35" s="24" t="s">
        <v>21</v>
      </c>
      <c r="I35" s="27">
        <f t="shared" si="0"/>
        <v>0</v>
      </c>
      <c r="J35" s="13"/>
      <c r="K35" s="13"/>
      <c r="L35" s="13"/>
      <c r="M35" s="13"/>
      <c r="N35" s="13"/>
    </row>
    <row r="36" spans="1:14" x14ac:dyDescent="0.25">
      <c r="A36">
        <v>28</v>
      </c>
      <c r="B36" s="35" t="s">
        <v>74</v>
      </c>
      <c r="C36" t="s">
        <v>123</v>
      </c>
      <c r="D36" s="24" t="s">
        <v>25</v>
      </c>
      <c r="E36" s="2">
        <v>46142</v>
      </c>
      <c r="F36" s="2">
        <v>46173</v>
      </c>
      <c r="G36" s="2"/>
      <c r="H36" s="24" t="s">
        <v>21</v>
      </c>
      <c r="I36" s="27">
        <f t="shared" si="0"/>
        <v>3</v>
      </c>
      <c r="J36" s="13"/>
      <c r="K36" s="13">
        <v>3</v>
      </c>
      <c r="L36" s="13"/>
      <c r="M36" s="13"/>
      <c r="N36" s="13"/>
    </row>
    <row r="37" spans="1:14" x14ac:dyDescent="0.25">
      <c r="A37">
        <v>29</v>
      </c>
      <c r="B37" s="35" t="s">
        <v>74</v>
      </c>
      <c r="C37" t="s">
        <v>126</v>
      </c>
      <c r="D37" s="24" t="s">
        <v>25</v>
      </c>
      <c r="E37" s="2">
        <v>46142</v>
      </c>
      <c r="F37" s="2">
        <v>46173</v>
      </c>
      <c r="G37" s="2"/>
      <c r="H37" s="24" t="s">
        <v>21</v>
      </c>
      <c r="I37" s="27">
        <f t="shared" si="0"/>
        <v>3</v>
      </c>
      <c r="J37" s="13"/>
      <c r="K37" s="13">
        <v>3</v>
      </c>
      <c r="L37" s="13"/>
      <c r="M37" s="13"/>
      <c r="N37" s="13"/>
    </row>
    <row r="38" spans="1:14" x14ac:dyDescent="0.25">
      <c r="A38">
        <v>30</v>
      </c>
      <c r="B38" s="35" t="s">
        <v>74</v>
      </c>
      <c r="C38" t="s">
        <v>129</v>
      </c>
      <c r="D38" s="24" t="s">
        <v>25</v>
      </c>
      <c r="E38" s="2">
        <v>46142</v>
      </c>
      <c r="F38" s="2">
        <v>46173</v>
      </c>
      <c r="G38" s="2"/>
      <c r="H38" s="24" t="s">
        <v>21</v>
      </c>
      <c r="I38" s="27">
        <f t="shared" si="0"/>
        <v>0</v>
      </c>
      <c r="J38" s="13"/>
      <c r="K38" s="13"/>
      <c r="L38" s="13"/>
      <c r="M38" s="13"/>
      <c r="N38" s="13"/>
    </row>
    <row r="39" spans="1:14" x14ac:dyDescent="0.25">
      <c r="A39">
        <v>31</v>
      </c>
      <c r="B39" s="35" t="s">
        <v>74</v>
      </c>
      <c r="C39" t="s">
        <v>85</v>
      </c>
      <c r="D39" s="24" t="s">
        <v>22</v>
      </c>
      <c r="E39" s="2">
        <v>46142</v>
      </c>
      <c r="F39" s="2">
        <v>46173</v>
      </c>
      <c r="G39" s="2"/>
      <c r="H39" s="24" t="s">
        <v>21</v>
      </c>
      <c r="I39" s="27">
        <f t="shared" si="0"/>
        <v>0</v>
      </c>
      <c r="J39" s="13"/>
      <c r="K39" s="13"/>
      <c r="L39" s="13"/>
      <c r="M39" s="13"/>
      <c r="N39" s="13"/>
    </row>
    <row r="40" spans="1:14" x14ac:dyDescent="0.25">
      <c r="A40">
        <v>32</v>
      </c>
      <c r="B40" s="35" t="s">
        <v>74</v>
      </c>
      <c r="C40" t="s">
        <v>86</v>
      </c>
      <c r="D40" s="24" t="s">
        <v>22</v>
      </c>
      <c r="E40" s="2">
        <v>46142</v>
      </c>
      <c r="F40" s="2">
        <v>46173</v>
      </c>
      <c r="G40" s="2"/>
      <c r="H40" s="24" t="s">
        <v>21</v>
      </c>
      <c r="I40" s="27">
        <f t="shared" si="0"/>
        <v>0</v>
      </c>
      <c r="J40" s="13"/>
      <c r="K40" s="13"/>
      <c r="L40" s="13"/>
      <c r="M40" s="13"/>
      <c r="N40" s="13"/>
    </row>
    <row r="41" spans="1:14" x14ac:dyDescent="0.25">
      <c r="A41" s="9">
        <v>33</v>
      </c>
      <c r="B41" s="35" t="s">
        <v>74</v>
      </c>
      <c r="C41" t="s">
        <v>105</v>
      </c>
      <c r="D41" s="24" t="s">
        <v>25</v>
      </c>
      <c r="E41" s="2">
        <v>46142</v>
      </c>
      <c r="F41" s="2">
        <v>46173</v>
      </c>
      <c r="G41" s="2"/>
      <c r="H41" s="24" t="s">
        <v>21</v>
      </c>
      <c r="I41" s="27">
        <f t="shared" ref="I41:I58" si="1">SUM(J41:N41)</f>
        <v>2</v>
      </c>
      <c r="J41" s="13"/>
      <c r="K41" s="13">
        <v>2</v>
      </c>
      <c r="L41" s="13"/>
      <c r="M41" s="13"/>
      <c r="N41" s="13"/>
    </row>
    <row r="42" spans="1:14" x14ac:dyDescent="0.25">
      <c r="A42">
        <v>34</v>
      </c>
      <c r="B42" s="35" t="s">
        <v>74</v>
      </c>
      <c r="C42" t="s">
        <v>116</v>
      </c>
      <c r="D42" s="24" t="s">
        <v>25</v>
      </c>
      <c r="E42" s="2">
        <v>46142</v>
      </c>
      <c r="F42" s="2">
        <v>46173</v>
      </c>
      <c r="G42" s="2"/>
      <c r="H42" s="24" t="s">
        <v>21</v>
      </c>
      <c r="I42" s="27">
        <f t="shared" si="1"/>
        <v>2</v>
      </c>
      <c r="J42" s="13"/>
      <c r="K42" s="13">
        <v>2</v>
      </c>
      <c r="L42" s="13"/>
      <c r="M42" s="13"/>
      <c r="N42" s="13"/>
    </row>
    <row r="43" spans="1:14" x14ac:dyDescent="0.25">
      <c r="A43">
        <v>35</v>
      </c>
      <c r="B43" s="35" t="s">
        <v>74</v>
      </c>
      <c r="C43" t="s">
        <v>117</v>
      </c>
      <c r="D43" s="24" t="s">
        <v>25</v>
      </c>
      <c r="E43" s="2">
        <v>46142</v>
      </c>
      <c r="F43" s="2">
        <v>46173</v>
      </c>
      <c r="G43" s="2"/>
      <c r="H43" s="24" t="s">
        <v>21</v>
      </c>
      <c r="I43" s="27">
        <f t="shared" si="1"/>
        <v>2</v>
      </c>
      <c r="J43" s="13"/>
      <c r="K43" s="13">
        <v>2</v>
      </c>
      <c r="L43" s="13"/>
      <c r="M43" s="13"/>
      <c r="N43" s="13"/>
    </row>
    <row r="44" spans="1:14" x14ac:dyDescent="0.25">
      <c r="A44">
        <v>36</v>
      </c>
      <c r="B44" s="35" t="s">
        <v>74</v>
      </c>
      <c r="C44" t="s">
        <v>125</v>
      </c>
      <c r="D44" s="24" t="s">
        <v>25</v>
      </c>
      <c r="E44" s="2">
        <v>46142</v>
      </c>
      <c r="F44" s="2">
        <v>46173</v>
      </c>
      <c r="G44" s="2"/>
      <c r="H44" s="24" t="s">
        <v>21</v>
      </c>
      <c r="I44" s="27">
        <f t="shared" si="1"/>
        <v>3</v>
      </c>
      <c r="J44" s="13"/>
      <c r="K44" s="13">
        <v>3</v>
      </c>
      <c r="L44" s="13"/>
      <c r="M44" s="13"/>
      <c r="N44" s="13"/>
    </row>
    <row r="45" spans="1:14" x14ac:dyDescent="0.25">
      <c r="A45">
        <v>37</v>
      </c>
      <c r="B45" s="35" t="s">
        <v>74</v>
      </c>
      <c r="C45" t="s">
        <v>128</v>
      </c>
      <c r="D45" s="24" t="s">
        <v>25</v>
      </c>
      <c r="E45" s="2">
        <v>46142</v>
      </c>
      <c r="F45" s="2">
        <v>46173</v>
      </c>
      <c r="G45" s="2"/>
      <c r="H45" s="24" t="s">
        <v>21</v>
      </c>
      <c r="I45" s="27">
        <f t="shared" si="1"/>
        <v>3</v>
      </c>
      <c r="J45" s="13"/>
      <c r="K45" s="13">
        <v>3</v>
      </c>
      <c r="L45" s="13"/>
      <c r="M45" s="13"/>
      <c r="N45" s="13"/>
    </row>
    <row r="46" spans="1:14" x14ac:dyDescent="0.25">
      <c r="A46">
        <v>38</v>
      </c>
      <c r="B46" s="35" t="s">
        <v>74</v>
      </c>
      <c r="C46" t="s">
        <v>95</v>
      </c>
      <c r="D46" s="24" t="s">
        <v>25</v>
      </c>
      <c r="E46" s="2">
        <v>46142</v>
      </c>
      <c r="F46" s="2">
        <v>46173</v>
      </c>
      <c r="G46" s="2"/>
      <c r="H46" s="24" t="s">
        <v>21</v>
      </c>
      <c r="I46" s="27">
        <f t="shared" si="1"/>
        <v>0</v>
      </c>
      <c r="J46" s="13"/>
      <c r="K46" s="13"/>
      <c r="L46" s="13"/>
      <c r="M46" s="13"/>
      <c r="N46" s="13"/>
    </row>
    <row r="47" spans="1:14" x14ac:dyDescent="0.25">
      <c r="A47">
        <v>39</v>
      </c>
      <c r="B47" s="35" t="s">
        <v>74</v>
      </c>
      <c r="C47" t="s">
        <v>93</v>
      </c>
      <c r="D47" s="24" t="s">
        <v>25</v>
      </c>
      <c r="E47" s="2">
        <v>46142</v>
      </c>
      <c r="F47" s="2">
        <v>46173</v>
      </c>
      <c r="G47" s="2"/>
      <c r="H47" s="24" t="s">
        <v>21</v>
      </c>
      <c r="I47" s="27">
        <f t="shared" si="1"/>
        <v>0</v>
      </c>
      <c r="J47" s="13"/>
      <c r="K47" s="13"/>
      <c r="L47" s="13"/>
      <c r="M47" s="13"/>
      <c r="N47" s="13"/>
    </row>
    <row r="48" spans="1:14" x14ac:dyDescent="0.25">
      <c r="A48">
        <v>40</v>
      </c>
      <c r="B48" s="35" t="s">
        <v>74</v>
      </c>
      <c r="C48" t="s">
        <v>107</v>
      </c>
      <c r="D48" s="24" t="s">
        <v>25</v>
      </c>
      <c r="E48" s="2">
        <v>46142</v>
      </c>
      <c r="F48" s="2">
        <v>46173</v>
      </c>
      <c r="G48" s="2"/>
      <c r="H48" s="24" t="s">
        <v>21</v>
      </c>
      <c r="I48" s="27">
        <f t="shared" si="1"/>
        <v>0</v>
      </c>
      <c r="J48" s="13"/>
      <c r="K48" s="13"/>
      <c r="L48" s="13"/>
      <c r="M48" s="13"/>
      <c r="N48" s="13"/>
    </row>
    <row r="49" spans="1:14" x14ac:dyDescent="0.25">
      <c r="A49">
        <v>41</v>
      </c>
      <c r="B49" s="35" t="s">
        <v>74</v>
      </c>
      <c r="C49" t="s">
        <v>98</v>
      </c>
      <c r="D49" s="24" t="s">
        <v>25</v>
      </c>
      <c r="E49" s="2">
        <v>46142</v>
      </c>
      <c r="F49" s="2">
        <v>46173</v>
      </c>
      <c r="G49" s="2"/>
      <c r="H49" s="24" t="s">
        <v>21</v>
      </c>
      <c r="I49" s="27">
        <f t="shared" si="1"/>
        <v>0</v>
      </c>
      <c r="J49" s="13"/>
      <c r="K49" s="13"/>
      <c r="L49" s="13"/>
      <c r="M49" s="13"/>
      <c r="N49" s="13"/>
    </row>
    <row r="50" spans="1:14" x14ac:dyDescent="0.25">
      <c r="A50">
        <v>42</v>
      </c>
      <c r="B50" s="35" t="s">
        <v>74</v>
      </c>
      <c r="C50" t="s">
        <v>99</v>
      </c>
      <c r="D50" s="24" t="s">
        <v>25</v>
      </c>
      <c r="E50" s="2">
        <v>46142</v>
      </c>
      <c r="F50" s="2">
        <v>46173</v>
      </c>
      <c r="G50" s="2"/>
      <c r="H50" s="24" t="s">
        <v>21</v>
      </c>
      <c r="I50" s="27">
        <f t="shared" si="1"/>
        <v>0</v>
      </c>
      <c r="J50" s="13"/>
      <c r="K50" s="13"/>
      <c r="L50" s="13"/>
      <c r="M50" s="13"/>
      <c r="N50" s="13"/>
    </row>
    <row r="51" spans="1:14" x14ac:dyDescent="0.25">
      <c r="A51">
        <v>43</v>
      </c>
      <c r="B51" s="35" t="s">
        <v>74</v>
      </c>
      <c r="C51" t="s">
        <v>103</v>
      </c>
      <c r="D51" s="24" t="s">
        <v>25</v>
      </c>
      <c r="E51" s="2">
        <v>46142</v>
      </c>
      <c r="F51" s="2">
        <v>46173</v>
      </c>
      <c r="G51" s="2"/>
      <c r="H51" s="24" t="s">
        <v>21</v>
      </c>
      <c r="I51" s="27">
        <f t="shared" si="1"/>
        <v>0</v>
      </c>
      <c r="J51" s="13"/>
      <c r="K51" s="13"/>
      <c r="L51" s="13"/>
      <c r="M51" s="13"/>
      <c r="N51" s="13"/>
    </row>
    <row r="52" spans="1:14" x14ac:dyDescent="0.25">
      <c r="A52">
        <v>44</v>
      </c>
      <c r="B52" s="35" t="s">
        <v>74</v>
      </c>
      <c r="C52" t="s">
        <v>104</v>
      </c>
      <c r="D52" s="24" t="s">
        <v>25</v>
      </c>
      <c r="E52" s="2">
        <v>46142</v>
      </c>
      <c r="F52" s="2">
        <v>46173</v>
      </c>
      <c r="G52" s="2"/>
      <c r="H52" s="24" t="s">
        <v>21</v>
      </c>
      <c r="I52" s="27">
        <f t="shared" si="1"/>
        <v>0</v>
      </c>
      <c r="J52" s="13"/>
      <c r="K52" s="13"/>
      <c r="L52" s="13"/>
      <c r="M52" s="13"/>
      <c r="N52" s="13"/>
    </row>
    <row r="53" spans="1:14" x14ac:dyDescent="0.25">
      <c r="A53">
        <v>45</v>
      </c>
      <c r="B53" s="35" t="s">
        <v>74</v>
      </c>
      <c r="C53" t="s">
        <v>106</v>
      </c>
      <c r="D53" s="24" t="s">
        <v>25</v>
      </c>
      <c r="E53" s="2">
        <v>46142</v>
      </c>
      <c r="F53" s="2">
        <v>46173</v>
      </c>
      <c r="G53" s="2"/>
      <c r="H53" s="24" t="s">
        <v>21</v>
      </c>
      <c r="I53" s="27">
        <f t="shared" si="1"/>
        <v>0</v>
      </c>
      <c r="J53" s="13"/>
      <c r="K53" s="13"/>
      <c r="L53" s="13"/>
      <c r="M53" s="13"/>
      <c r="N53" s="13"/>
    </row>
    <row r="54" spans="1:14" x14ac:dyDescent="0.25">
      <c r="A54">
        <v>46</v>
      </c>
      <c r="B54" s="35" t="s">
        <v>74</v>
      </c>
      <c r="C54" t="s">
        <v>108</v>
      </c>
      <c r="D54" s="24" t="s">
        <v>25</v>
      </c>
      <c r="E54" s="2">
        <v>46142</v>
      </c>
      <c r="F54" s="2">
        <v>46173</v>
      </c>
      <c r="G54" s="2"/>
      <c r="H54" s="24" t="s">
        <v>21</v>
      </c>
      <c r="I54" s="27">
        <f t="shared" si="1"/>
        <v>0</v>
      </c>
      <c r="J54" s="13"/>
      <c r="K54" s="13"/>
      <c r="L54" s="13"/>
      <c r="M54" s="13"/>
      <c r="N54" s="13"/>
    </row>
    <row r="55" spans="1:14" x14ac:dyDescent="0.25">
      <c r="A55">
        <v>47</v>
      </c>
      <c r="B55" s="35" t="s">
        <v>74</v>
      </c>
      <c r="C55" t="s">
        <v>110</v>
      </c>
      <c r="D55" s="24" t="s">
        <v>25</v>
      </c>
      <c r="E55" s="2">
        <v>46142</v>
      </c>
      <c r="F55" s="2">
        <v>46173</v>
      </c>
      <c r="G55" s="2"/>
      <c r="H55" s="24" t="s">
        <v>21</v>
      </c>
      <c r="I55" s="27">
        <f t="shared" si="1"/>
        <v>0</v>
      </c>
      <c r="J55" s="13"/>
      <c r="K55" s="13"/>
      <c r="L55" s="13"/>
      <c r="M55" s="13"/>
      <c r="N55" s="13"/>
    </row>
    <row r="56" spans="1:14" x14ac:dyDescent="0.25">
      <c r="A56">
        <v>48</v>
      </c>
      <c r="B56" s="35" t="s">
        <v>74</v>
      </c>
      <c r="C56" t="s">
        <v>111</v>
      </c>
      <c r="D56" s="24" t="s">
        <v>25</v>
      </c>
      <c r="E56" s="2">
        <v>46142</v>
      </c>
      <c r="F56" s="2">
        <v>46173</v>
      </c>
      <c r="G56" s="2"/>
      <c r="H56" s="24" t="s">
        <v>21</v>
      </c>
      <c r="I56" s="27">
        <f t="shared" si="1"/>
        <v>0</v>
      </c>
      <c r="J56" s="13"/>
      <c r="K56" s="13"/>
      <c r="L56" s="13"/>
      <c r="M56" s="13"/>
      <c r="N56" s="13"/>
    </row>
    <row r="57" spans="1:14" x14ac:dyDescent="0.25">
      <c r="A57">
        <v>49</v>
      </c>
      <c r="B57" s="35" t="s">
        <v>74</v>
      </c>
      <c r="C57" t="s">
        <v>113</v>
      </c>
      <c r="D57" s="24" t="s">
        <v>25</v>
      </c>
      <c r="E57" s="2">
        <v>46142</v>
      </c>
      <c r="F57" s="2">
        <v>46173</v>
      </c>
      <c r="G57" s="2"/>
      <c r="H57" s="24" t="s">
        <v>21</v>
      </c>
      <c r="I57" s="27">
        <f t="shared" si="1"/>
        <v>0</v>
      </c>
      <c r="J57" s="13"/>
      <c r="K57" s="13"/>
      <c r="L57" s="13"/>
      <c r="M57" s="13"/>
      <c r="N57" s="13"/>
    </row>
    <row r="58" spans="1:14" x14ac:dyDescent="0.25">
      <c r="A58">
        <v>50</v>
      </c>
      <c r="B58" s="35" t="s">
        <v>74</v>
      </c>
      <c r="C58" t="s">
        <v>87</v>
      </c>
      <c r="D58" s="24" t="s">
        <v>22</v>
      </c>
      <c r="E58" s="2">
        <v>46142</v>
      </c>
      <c r="F58" s="2">
        <v>46173</v>
      </c>
      <c r="G58" s="2"/>
      <c r="H58" s="24" t="s">
        <v>21</v>
      </c>
      <c r="I58" s="27">
        <f t="shared" si="1"/>
        <v>0</v>
      </c>
      <c r="J58" s="13"/>
      <c r="K58" s="13"/>
      <c r="L58" s="13"/>
      <c r="M58" s="13"/>
      <c r="N58" s="13"/>
    </row>
    <row r="59" spans="1:14" x14ac:dyDescent="0.25">
      <c r="A59">
        <v>51</v>
      </c>
      <c r="B59" s="35" t="s">
        <v>74</v>
      </c>
      <c r="C59" t="s">
        <v>30</v>
      </c>
      <c r="D59" s="24" t="s">
        <v>27</v>
      </c>
      <c r="E59" s="2">
        <v>46142</v>
      </c>
      <c r="F59" s="2">
        <v>46173</v>
      </c>
      <c r="H59" s="24" t="s">
        <v>21</v>
      </c>
      <c r="I59" s="27">
        <f t="shared" ref="I59:I60" si="2">SUM(J59:N59)</f>
        <v>5</v>
      </c>
      <c r="J59" s="13">
        <f t="shared" ref="J59:K59" si="3">0.5*5</f>
        <v>2.5</v>
      </c>
      <c r="K59" s="13">
        <f t="shared" si="3"/>
        <v>2.5</v>
      </c>
      <c r="L59" s="13"/>
      <c r="M59" s="13"/>
      <c r="N59" s="13"/>
    </row>
    <row r="60" spans="1:14" x14ac:dyDescent="0.25">
      <c r="D60" s="24"/>
      <c r="H60" s="24"/>
      <c r="I60" s="27">
        <f t="shared" si="2"/>
        <v>0</v>
      </c>
    </row>
    <row r="61" spans="1:14" ht="15.75" thickBot="1" x14ac:dyDescent="0.3">
      <c r="A61" s="12" t="s">
        <v>28</v>
      </c>
      <c r="B61" s="8"/>
      <c r="C61" s="8"/>
      <c r="D61" s="8"/>
      <c r="E61" s="8"/>
      <c r="F61" s="8"/>
      <c r="G61" s="8"/>
      <c r="H61" s="8"/>
      <c r="I61" s="28">
        <f t="shared" ref="I61:N61" si="4">SUM(I8:I60)</f>
        <v>70</v>
      </c>
      <c r="J61" s="14">
        <f t="shared" si="4"/>
        <v>37</v>
      </c>
      <c r="K61" s="14">
        <f t="shared" si="4"/>
        <v>33</v>
      </c>
      <c r="L61" s="14">
        <f t="shared" si="4"/>
        <v>0</v>
      </c>
      <c r="M61" s="14">
        <f t="shared" si="4"/>
        <v>0</v>
      </c>
      <c r="N61" s="14">
        <f t="shared" si="4"/>
        <v>0</v>
      </c>
    </row>
    <row r="62" spans="1:14" ht="15.75" thickTop="1" x14ac:dyDescent="0.25">
      <c r="I62" s="27"/>
      <c r="J62" s="13"/>
      <c r="K62" s="13"/>
      <c r="L62" s="13"/>
      <c r="M62" s="13"/>
      <c r="N62" s="13"/>
    </row>
    <row r="63" spans="1:14" x14ac:dyDescent="0.25">
      <c r="A63" s="1" t="s">
        <v>29</v>
      </c>
      <c r="I63" s="27"/>
      <c r="J63" s="13"/>
      <c r="K63" s="13"/>
      <c r="L63" s="13"/>
      <c r="M63" s="13"/>
      <c r="N63" s="13"/>
    </row>
    <row r="64" spans="1:14" s="31" customFormat="1" x14ac:dyDescent="0.25">
      <c r="B64" s="31" t="s">
        <v>30</v>
      </c>
      <c r="C64" s="32"/>
      <c r="I64" s="33">
        <f t="shared" ref="I64:I68" si="5">SUM(J64:N64)</f>
        <v>3.3000000000000003</v>
      </c>
      <c r="J64" s="34">
        <f>0.33*5</f>
        <v>1.6500000000000001</v>
      </c>
      <c r="K64" s="34">
        <f>0.33*5</f>
        <v>1.6500000000000001</v>
      </c>
      <c r="L64" s="34"/>
      <c r="M64" s="34"/>
      <c r="N64" s="34"/>
    </row>
    <row r="65" spans="1:14" x14ac:dyDescent="0.25">
      <c r="B65" t="s">
        <v>31</v>
      </c>
      <c r="I65" s="27">
        <f t="shared" si="5"/>
        <v>2.6</v>
      </c>
      <c r="J65" s="13">
        <f>0.25*5+0.1</f>
        <v>1.35</v>
      </c>
      <c r="K65" s="13">
        <f>0.25*5</f>
        <v>1.25</v>
      </c>
      <c r="L65" s="13"/>
      <c r="M65" s="13"/>
      <c r="N65" s="13"/>
    </row>
    <row r="66" spans="1:14" x14ac:dyDescent="0.25">
      <c r="B66" t="s">
        <v>32</v>
      </c>
      <c r="I66" s="27">
        <f t="shared" si="5"/>
        <v>0</v>
      </c>
      <c r="J66" s="13"/>
      <c r="K66" s="13"/>
      <c r="L66" s="13"/>
      <c r="M66" s="13"/>
      <c r="N66" s="13"/>
    </row>
    <row r="67" spans="1:14" x14ac:dyDescent="0.25">
      <c r="B67" t="s">
        <v>33</v>
      </c>
      <c r="I67" s="27">
        <f t="shared" si="5"/>
        <v>0</v>
      </c>
      <c r="J67" s="13"/>
      <c r="K67" s="13"/>
      <c r="L67" s="13"/>
      <c r="M67" s="13"/>
      <c r="N67" s="13"/>
    </row>
    <row r="68" spans="1:14" x14ac:dyDescent="0.25">
      <c r="B68" t="s">
        <v>34</v>
      </c>
      <c r="I68" s="27">
        <f t="shared" si="5"/>
        <v>4.0999999999999996</v>
      </c>
      <c r="J68" s="13"/>
      <c r="K68" s="13">
        <v>4.0999999999999996</v>
      </c>
      <c r="L68" s="13"/>
      <c r="M68" s="13"/>
      <c r="N68" s="13"/>
    </row>
    <row r="69" spans="1:14" x14ac:dyDescent="0.25">
      <c r="I69" s="24"/>
    </row>
    <row r="70" spans="1:14" ht="15.75" thickBot="1" x14ac:dyDescent="0.3">
      <c r="A70" s="12" t="s">
        <v>35</v>
      </c>
      <c r="B70" s="8"/>
      <c r="C70" s="8"/>
      <c r="D70" s="8"/>
      <c r="E70" s="8"/>
      <c r="F70" s="8"/>
      <c r="G70" s="8"/>
      <c r="H70" s="8"/>
      <c r="I70" s="28">
        <f>SUM(I64:I69)</f>
        <v>10</v>
      </c>
      <c r="J70" s="14">
        <f>SUM(J64:J69)</f>
        <v>3</v>
      </c>
      <c r="K70" s="14">
        <f t="shared" ref="K70:N70" si="6">SUM(K64:K69)</f>
        <v>7</v>
      </c>
      <c r="L70" s="14">
        <f t="shared" si="6"/>
        <v>0</v>
      </c>
      <c r="M70" s="14">
        <f t="shared" si="6"/>
        <v>0</v>
      </c>
      <c r="N70" s="14">
        <f t="shared" si="6"/>
        <v>0</v>
      </c>
    </row>
    <row r="71" spans="1:14" ht="15.75" thickTop="1" x14ac:dyDescent="0.25">
      <c r="I71" s="27"/>
      <c r="J71" s="13"/>
      <c r="K71" s="13"/>
      <c r="L71" s="13"/>
      <c r="M71" s="13"/>
      <c r="N71" s="13"/>
    </row>
    <row r="72" spans="1:14" ht="15.75" thickBot="1" x14ac:dyDescent="0.3">
      <c r="A72" s="12" t="s">
        <v>36</v>
      </c>
      <c r="B72" s="8"/>
      <c r="C72" s="8"/>
      <c r="D72" s="8"/>
      <c r="E72" s="8"/>
      <c r="F72" s="8"/>
      <c r="G72" s="8"/>
      <c r="H72" s="8"/>
      <c r="I72" s="28">
        <f>+I70+I61</f>
        <v>80</v>
      </c>
      <c r="J72" s="14">
        <f t="shared" ref="J72:N72" si="7">+J70+J61</f>
        <v>40</v>
      </c>
      <c r="K72" s="14">
        <f t="shared" si="7"/>
        <v>40</v>
      </c>
      <c r="L72" s="14">
        <f t="shared" si="7"/>
        <v>0</v>
      </c>
      <c r="M72" s="14">
        <f t="shared" si="7"/>
        <v>0</v>
      </c>
      <c r="N72" s="14">
        <f t="shared" si="7"/>
        <v>0</v>
      </c>
    </row>
    <row r="73" spans="1:14" ht="15.75" thickTop="1" x14ac:dyDescent="0.25">
      <c r="I73" s="24"/>
    </row>
    <row r="74" spans="1:14" x14ac:dyDescent="0.25">
      <c r="I74" s="24"/>
    </row>
    <row r="75" spans="1:14" ht="15.75" thickBot="1" x14ac:dyDescent="0.3">
      <c r="A75" s="12" t="s">
        <v>37</v>
      </c>
      <c r="B75" s="8"/>
      <c r="C75" s="8"/>
      <c r="D75" s="8"/>
      <c r="E75" s="8"/>
      <c r="F75" s="8"/>
      <c r="G75" s="8"/>
      <c r="H75" s="8"/>
      <c r="I75" s="28"/>
      <c r="J75" s="14">
        <v>40</v>
      </c>
      <c r="K75" s="14">
        <v>40</v>
      </c>
      <c r="L75" s="14">
        <v>40</v>
      </c>
      <c r="M75" s="14">
        <v>40</v>
      </c>
      <c r="N75" s="14">
        <v>40</v>
      </c>
    </row>
    <row r="76" spans="1:14" ht="16.5" thickTop="1" thickBot="1" x14ac:dyDescent="0.3">
      <c r="A76" s="12" t="s">
        <v>38</v>
      </c>
      <c r="B76" s="8"/>
      <c r="C76" s="8"/>
      <c r="D76" s="8"/>
      <c r="E76" s="8"/>
      <c r="F76" s="8"/>
      <c r="G76" s="8"/>
      <c r="H76" s="8"/>
      <c r="I76" s="28"/>
      <c r="J76" s="14">
        <f>+J75-J72</f>
        <v>0</v>
      </c>
      <c r="K76" s="14">
        <f t="shared" ref="K76:N76" si="8">+K75-K72</f>
        <v>0</v>
      </c>
      <c r="L76" s="14">
        <f t="shared" si="8"/>
        <v>40</v>
      </c>
      <c r="M76" s="14">
        <f t="shared" si="8"/>
        <v>40</v>
      </c>
      <c r="N76" s="14">
        <f t="shared" si="8"/>
        <v>40</v>
      </c>
    </row>
    <row r="77" spans="1:14" ht="15.75" thickTop="1" x14ac:dyDescent="0.25"/>
  </sheetData>
  <protectedRanges>
    <protectedRange sqref="A8:XFD8 A60:C60 A64:B69 C64:C65 C67:C69 C59 G59 E60:XFD60 D64:XFD69 O9:XFD59 H9:I59" name="Range1"/>
    <protectedRange sqref="D9:D60" name="Range1_2"/>
    <protectedRange sqref="A9:A59" name="Range1_4"/>
    <protectedRange sqref="C12:C14 C16:C17" name="Range1_3"/>
    <protectedRange sqref="C9 C15 C18:C58 B9:B59" name="Range1_1_2"/>
    <protectedRange sqref="E9:F59" name="Range1_3_2"/>
    <protectedRange sqref="G9:G58" name="Range1_9"/>
    <protectedRange sqref="J16:K19 J9:N15 L16:N21 J22:N59" name="Range1_13"/>
  </protectedRanges>
  <sortState xmlns:xlrd2="http://schemas.microsoft.com/office/spreadsheetml/2017/richdata2" ref="B9:K58">
    <sortCondition ref="H9:H58"/>
  </sortState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4BA8BDB-53D6-49C3-ABCC-E46D7EAA39F8}">
          <x14:formula1>
            <xm:f>Status!$B$16:$B$23</xm:f>
          </x14:formula1>
          <xm:sqref>H9:H60</xm:sqref>
        </x14:dataValidation>
        <x14:dataValidation type="list" allowBlank="1" showInputMessage="1" showErrorMessage="1" xr:uid="{477E9492-0757-4148-ABBB-6EC6E83F516C}">
          <x14:formula1>
            <xm:f>Status!$B$3:$B$11</xm:f>
          </x14:formula1>
          <xm:sqref>D9:D60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3"/>
  <sheetViews>
    <sheetView workbookViewId="0">
      <selection activeCell="B10" sqref="B10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2" t="s">
        <v>8</v>
      </c>
      <c r="C2" s="22" t="s">
        <v>39</v>
      </c>
    </row>
    <row r="3" spans="2:3" x14ac:dyDescent="0.25">
      <c r="B3" s="19" t="s">
        <v>40</v>
      </c>
      <c r="C3" s="20" t="s">
        <v>41</v>
      </c>
    </row>
    <row r="4" spans="2:3" x14ac:dyDescent="0.25">
      <c r="B4" s="19" t="s">
        <v>19</v>
      </c>
      <c r="C4" s="20" t="s">
        <v>42</v>
      </c>
    </row>
    <row r="5" spans="2:3" x14ac:dyDescent="0.25">
      <c r="B5" s="19" t="s">
        <v>43</v>
      </c>
      <c r="C5" s="20" t="s">
        <v>44</v>
      </c>
    </row>
    <row r="6" spans="2:3" x14ac:dyDescent="0.25">
      <c r="B6" s="19" t="s">
        <v>22</v>
      </c>
      <c r="C6" s="20" t="s">
        <v>45</v>
      </c>
    </row>
    <row r="7" spans="2:3" x14ac:dyDescent="0.25">
      <c r="B7" s="19" t="s">
        <v>25</v>
      </c>
      <c r="C7" s="20" t="s">
        <v>46</v>
      </c>
    </row>
    <row r="8" spans="2:3" x14ac:dyDescent="0.25">
      <c r="B8" s="19" t="s">
        <v>26</v>
      </c>
      <c r="C8" s="20" t="s">
        <v>47</v>
      </c>
    </row>
    <row r="9" spans="2:3" x14ac:dyDescent="0.25">
      <c r="B9" s="19" t="s">
        <v>48</v>
      </c>
      <c r="C9" s="20" t="s">
        <v>49</v>
      </c>
    </row>
    <row r="10" spans="2:3" x14ac:dyDescent="0.25">
      <c r="B10" s="19" t="s">
        <v>27</v>
      </c>
      <c r="C10" s="20" t="s">
        <v>50</v>
      </c>
    </row>
    <row r="11" spans="2:3" x14ac:dyDescent="0.25">
      <c r="B11" s="19" t="s">
        <v>51</v>
      </c>
      <c r="C11" s="20" t="s">
        <v>52</v>
      </c>
    </row>
    <row r="15" spans="2:3" ht="16.5" x14ac:dyDescent="0.25">
      <c r="B15" s="22" t="s">
        <v>53</v>
      </c>
      <c r="C15" s="22" t="s">
        <v>39</v>
      </c>
    </row>
    <row r="16" spans="2:3" x14ac:dyDescent="0.25">
      <c r="B16" s="21" t="s">
        <v>21</v>
      </c>
      <c r="C16" s="20" t="s">
        <v>54</v>
      </c>
    </row>
    <row r="17" spans="2:3" x14ac:dyDescent="0.25">
      <c r="B17" s="21" t="s">
        <v>23</v>
      </c>
      <c r="C17" s="20" t="s">
        <v>55</v>
      </c>
    </row>
    <row r="18" spans="2:3" x14ac:dyDescent="0.25">
      <c r="B18" s="21" t="s">
        <v>56</v>
      </c>
      <c r="C18" s="20" t="s">
        <v>57</v>
      </c>
    </row>
    <row r="19" spans="2:3" x14ac:dyDescent="0.25">
      <c r="B19" s="21" t="s">
        <v>24</v>
      </c>
      <c r="C19" s="20" t="s">
        <v>58</v>
      </c>
    </row>
    <row r="20" spans="2:3" x14ac:dyDescent="0.25">
      <c r="B20" s="21" t="s">
        <v>59</v>
      </c>
      <c r="C20" s="20" t="s">
        <v>60</v>
      </c>
    </row>
    <row r="21" spans="2:3" x14ac:dyDescent="0.25">
      <c r="B21" s="21" t="s">
        <v>20</v>
      </c>
      <c r="C21" s="20" t="s">
        <v>61</v>
      </c>
    </row>
    <row r="22" spans="2:3" x14ac:dyDescent="0.25">
      <c r="B22" s="21" t="s">
        <v>62</v>
      </c>
      <c r="C22" s="20" t="s">
        <v>63</v>
      </c>
    </row>
    <row r="23" spans="2:3" x14ac:dyDescent="0.25">
      <c r="B23" s="21" t="s">
        <v>64</v>
      </c>
      <c r="C23" s="20" t="s">
        <v>65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D16"/>
  <sheetViews>
    <sheetView workbookViewId="0">
      <selection activeCell="A10" sqref="A10"/>
    </sheetView>
  </sheetViews>
  <sheetFormatPr defaultRowHeight="15" x14ac:dyDescent="0.25"/>
  <cols>
    <col min="1" max="1" width="124.28515625" bestFit="1" customWidth="1"/>
  </cols>
  <sheetData>
    <row r="1" spans="1:4" s="16" customFormat="1" ht="16.5" thickBot="1" x14ac:dyDescent="0.3">
      <c r="A1" s="18" t="s">
        <v>66</v>
      </c>
    </row>
    <row r="2" spans="1:4" s="16" customFormat="1" ht="15.75" x14ac:dyDescent="0.25">
      <c r="A2" s="17"/>
    </row>
    <row r="3" spans="1:4" s="16" customFormat="1" ht="15.75" x14ac:dyDescent="0.25">
      <c r="A3" s="15" t="s">
        <v>67</v>
      </c>
      <c r="D3"/>
    </row>
    <row r="4" spans="1:4" s="16" customFormat="1" ht="15.75" x14ac:dyDescent="0.25">
      <c r="A4" s="17"/>
      <c r="D4"/>
    </row>
    <row r="5" spans="1:4" s="16" customFormat="1" ht="15.75" x14ac:dyDescent="0.25">
      <c r="A5" s="17"/>
      <c r="D5" t="s">
        <v>120</v>
      </c>
    </row>
    <row r="6" spans="1:4" s="16" customFormat="1" ht="15.75" x14ac:dyDescent="0.25">
      <c r="A6" s="17"/>
      <c r="D6" t="s">
        <v>109</v>
      </c>
    </row>
    <row r="7" spans="1:4" ht="15.75" x14ac:dyDescent="0.25">
      <c r="A7" s="15" t="s">
        <v>68</v>
      </c>
      <c r="D7" t="s">
        <v>121</v>
      </c>
    </row>
    <row r="8" spans="1:4" ht="15.75" x14ac:dyDescent="0.25">
      <c r="A8" s="15" t="s">
        <v>69</v>
      </c>
      <c r="D8" t="s">
        <v>119</v>
      </c>
    </row>
    <row r="9" spans="1:4" ht="15.75" x14ac:dyDescent="0.25">
      <c r="A9" s="15" t="s">
        <v>70</v>
      </c>
    </row>
    <row r="10" spans="1:4" ht="15.75" x14ac:dyDescent="0.25">
      <c r="A10" s="15" t="s">
        <v>71</v>
      </c>
    </row>
    <row r="11" spans="1:4" ht="15.75" x14ac:dyDescent="0.25">
      <c r="A11" s="15" t="s">
        <v>72</v>
      </c>
    </row>
    <row r="12" spans="1:4" ht="15.75" x14ac:dyDescent="0.25">
      <c r="A12" s="15" t="s">
        <v>73</v>
      </c>
    </row>
    <row r="14" spans="1:4" x14ac:dyDescent="0.25">
      <c r="A14" s="25"/>
    </row>
    <row r="15" spans="1:4" x14ac:dyDescent="0.25">
      <c r="A15" s="25"/>
    </row>
    <row r="16" spans="1:4" x14ac:dyDescent="0.25">
      <c r="A16" s="25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Sandeep Chavda</cp:lastModifiedBy>
  <cp:revision/>
  <dcterms:created xsi:type="dcterms:W3CDTF">2015-06-05T18:17:20Z</dcterms:created>
  <dcterms:modified xsi:type="dcterms:W3CDTF">2026-05-04T07:18:07Z</dcterms:modified>
  <cp:category/>
  <cp:contentStatus/>
</cp:coreProperties>
</file>