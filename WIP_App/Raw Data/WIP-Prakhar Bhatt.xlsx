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Anant Suthar\"/>
    </mc:Choice>
  </mc:AlternateContent>
  <xr:revisionPtr revIDLastSave="0" documentId="13_ncr:1_{BDC81680-8B21-45D6-82C2-67B976F0BB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1" l="1"/>
  <c r="I67" i="1"/>
  <c r="I68" i="1"/>
  <c r="I69" i="1"/>
  <c r="I70" i="1"/>
  <c r="I71" i="1"/>
  <c r="I72" i="1"/>
  <c r="I73" i="1"/>
  <c r="I74" i="1"/>
  <c r="I75" i="1"/>
  <c r="I59" i="1"/>
  <c r="I60" i="1"/>
  <c r="I61" i="1"/>
  <c r="I62" i="1"/>
  <c r="I63" i="1"/>
  <c r="I64" i="1"/>
  <c r="I65" i="1"/>
  <c r="K77" i="1"/>
  <c r="I58" i="1"/>
  <c r="I57" i="1"/>
  <c r="I56" i="1"/>
  <c r="I55" i="1"/>
  <c r="I54" i="1"/>
  <c r="I53" i="1"/>
  <c r="I84" i="1"/>
  <c r="I48" i="1"/>
  <c r="I52" i="1"/>
  <c r="I51" i="1"/>
  <c r="I50" i="1"/>
  <c r="I49" i="1"/>
  <c r="I47" i="1"/>
  <c r="I46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83" i="1"/>
  <c r="I10" i="1"/>
  <c r="I9" i="1"/>
  <c r="I82" i="1"/>
  <c r="I81" i="1"/>
  <c r="I80" i="1"/>
  <c r="I86" i="1" l="1"/>
  <c r="J77" i="1"/>
  <c r="J86" i="1"/>
  <c r="I77" i="1" l="1"/>
  <c r="N77" i="1"/>
  <c r="M77" i="1"/>
  <c r="L77" i="1"/>
  <c r="N86" i="1"/>
  <c r="M86" i="1"/>
  <c r="L86" i="1"/>
  <c r="K86" i="1"/>
  <c r="K6" i="1"/>
  <c r="L6" i="1" s="1"/>
  <c r="M6" i="1" s="1"/>
  <c r="M88" i="1" l="1"/>
  <c r="M92" i="1" s="1"/>
  <c r="J88" i="1"/>
  <c r="J92" i="1" s="1"/>
  <c r="K88" i="1"/>
  <c r="K92" i="1" s="1"/>
  <c r="N88" i="1"/>
  <c r="L88" i="1"/>
  <c r="L92" i="1" s="1"/>
  <c r="I88" i="1"/>
</calcChain>
</file>

<file path=xl/sharedStrings.xml><?xml version="1.0" encoding="utf-8"?>
<sst xmlns="http://schemas.openxmlformats.org/spreadsheetml/2006/main" count="350" uniqueCount="89">
  <si>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</si>
  <si>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</si>
  <si>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</si>
  <si>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</si>
  <si>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</si>
  <si>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</si>
  <si>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</si>
  <si>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</si>
  <si>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</si>
  <si>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</si>
  <si>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</si>
  <si>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</si>
  <si>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</si>
  <si>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</si>
  <si>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</si>
  <si>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</si>
  <si>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</si>
  <si>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</si>
  <si>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</si>
  <si>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</si>
  <si>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</si>
  <si>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</si>
  <si>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</si>
  <si>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</si>
  <si>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</si>
  <si>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</si>
  <si>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</si>
  <si>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</si>
  <si>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</si>
  <si>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</si>
  <si>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</si>
  <si>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</si>
  <si>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</si>
  <si>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</si>
  <si>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</si>
  <si>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</si>
  <si>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</si>
  <si>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</si>
  <si>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</si>
  <si>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</si>
  <si>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</si>
  <si>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</si>
  <si>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</si>
  <si>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</si>
  <si>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</si>
  <si>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</si>
  <si>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</si>
  <si>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</si>
  <si>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</si>
  <si>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</si>
  <si>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</si>
  <si>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</si>
  <si>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</si>
  <si>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</si>
  <si>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</si>
  <si>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</si>
  <si>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</si>
  <si>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</si>
  <si>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</si>
  <si>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</si>
  <si>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</si>
  <si>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</si>
  <si>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</si>
  <si>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</si>
  <si>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</si>
  <si>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</si>
  <si>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</si>
  <si>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</si>
  <si>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</si>
  <si>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</si>
  <si>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</si>
  <si>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</si>
  <si>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</si>
  <si>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</si>
  <si>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meeting and mail communication</t>
  </si>
  <si>
    <t>Semi Senior</t>
  </si>
  <si>
    <t> Prakhar Bhatt</t>
  </si>
  <si>
    <t>KPC Capital Partners</t>
  </si>
  <si>
    <t xml:space="preserve">Krishna's Avon Creek </t>
  </si>
  <si>
    <t xml:space="preserve">KPC Capital Partners </t>
  </si>
  <si>
    <t>Krishna's Stelzer, LLC</t>
  </si>
  <si>
    <t>Krishna's Emerson, LLC</t>
  </si>
  <si>
    <t>Krishna's mount Orab, LLC</t>
  </si>
  <si>
    <t>Balaji Usa Business Lending LLC</t>
  </si>
  <si>
    <t>KPC Management</t>
  </si>
  <si>
    <t>Indee Technoligies Inc</t>
  </si>
  <si>
    <t xml:space="preserve">Smart Accountents LLC </t>
  </si>
  <si>
    <t>IFI Tech Solutions Inc</t>
  </si>
  <si>
    <t>Anantkumar Suthar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</si>
</sst>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1" fillId="0" borderId="4" xfId="0" applyFont="1" applyBorder="1"/>
    <xf numFmtId="2" fontId="0" fillId="0" borderId="0" xfId="0" applyNumberFormat="1"/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"/>
  <sheetViews>
    <sheetView tabSelected="1" zoomScale="85" zoomScaleNormal="85" workbookViewId="0">
      <pane xSplit="2" ySplit="7" topLeftCell="C56" activePane="bottomRight" state="frozen"/>
      <selection pane="topRight" activeCell="C1" sqref="C1"/>
      <selection pane="bottomLeft" activeCell="A7" sqref="A7"/>
      <selection pane="bottomRight" activeCell="K77" sqref="K77"/>
    </sheetView>
  </sheetViews>
  <sheetFormatPr defaultRowHeight="15" x14ac:dyDescent="0.25"/>
  <cols>
    <col min="1" max="1" width="24.5703125" bestFit="1" customWidth="1"/>
    <col min="2" max="2" width="25.140625" customWidth="1"/>
    <col min="3" max="3" width="28.85546875" bestFit="1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76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75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88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5">
        <v>46146</v>
      </c>
      <c r="K6" s="2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3" t="s">
        <v>40</v>
      </c>
      <c r="E7" s="3" t="s">
        <v>9</v>
      </c>
      <c r="F7" s="3" t="s">
        <v>10</v>
      </c>
      <c r="G7" s="3" t="s">
        <v>11</v>
      </c>
      <c r="H7" s="3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4" t="s">
        <v>5</v>
      </c>
    </row>
    <row r="8" spans="1:14" x14ac:dyDescent="0.25">
      <c r="A8" s="7" t="s">
        <v>18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77</v>
      </c>
      <c r="C9" t="s">
        <v>78</v>
      </c>
      <c r="D9" t="s">
        <v>42</v>
      </c>
      <c r="E9" s="2">
        <v>46090</v>
      </c>
      <c r="F9" s="2"/>
      <c r="G9" s="2"/>
      <c r="H9" t="s">
        <v>33</v>
      </c>
      <c r="I9" s="14">
        <f>SUM(J9:N9)</f>
        <v>0</v>
      </c>
      <c r="J9" s="14"/>
      <c r="K9" s="14"/>
      <c r="L9" s="14"/>
      <c r="M9" s="14"/>
    </row>
    <row r="10" spans="1:14" x14ac:dyDescent="0.25">
      <c r="A10">
        <v>2</v>
      </c>
      <c r="B10" t="s">
        <v>77</v>
      </c>
      <c r="C10" t="s">
        <v>79</v>
      </c>
      <c r="D10" t="s">
        <v>47</v>
      </c>
      <c r="E10" s="2">
        <v>46090</v>
      </c>
      <c r="G10" s="2"/>
      <c r="H10" t="s">
        <v>33</v>
      </c>
      <c r="I10" s="14">
        <f>SUM(J10:N10)</f>
        <v>0</v>
      </c>
      <c r="J10" s="14"/>
      <c r="K10" s="14"/>
      <c r="L10" s="14"/>
      <c r="M10" s="14"/>
    </row>
    <row r="11" spans="1:14" x14ac:dyDescent="0.25">
      <c r="A11">
        <v>3</v>
      </c>
      <c r="B11" t="s">
        <v>77</v>
      </c>
      <c r="C11" t="s">
        <v>80</v>
      </c>
      <c r="D11" t="s">
        <v>42</v>
      </c>
      <c r="E11" s="2">
        <v>46097</v>
      </c>
      <c r="F11" s="2"/>
      <c r="G11" s="2"/>
      <c r="H11" t="s">
        <v>33</v>
      </c>
      <c r="I11" s="14">
        <f t="shared" ref="I11:I40" si="0">SUM(J11:N11)</f>
        <v>0</v>
      </c>
      <c r="J11" s="14"/>
      <c r="K11" s="14"/>
      <c r="L11" s="14"/>
      <c r="M11" s="14"/>
    </row>
    <row r="12" spans="1:14" x14ac:dyDescent="0.25">
      <c r="A12">
        <v>4</v>
      </c>
      <c r="B12" t="s">
        <v>77</v>
      </c>
      <c r="C12" t="s">
        <v>81</v>
      </c>
      <c r="D12" t="s">
        <v>42</v>
      </c>
      <c r="E12" s="2">
        <v>46097</v>
      </c>
      <c r="G12" s="2"/>
      <c r="H12" t="s">
        <v>33</v>
      </c>
      <c r="I12" s="14">
        <f t="shared" si="0"/>
        <v>0</v>
      </c>
      <c r="J12" s="14"/>
      <c r="K12" s="14"/>
      <c r="L12" s="14"/>
      <c r="M12" s="14"/>
    </row>
    <row r="13" spans="1:14" x14ac:dyDescent="0.25">
      <c r="A13">
        <v>5</v>
      </c>
      <c r="B13" t="s">
        <v>77</v>
      </c>
      <c r="C13" t="s">
        <v>82</v>
      </c>
      <c r="D13" t="s">
        <v>42</v>
      </c>
      <c r="E13" s="2">
        <v>46097</v>
      </c>
      <c r="F13" s="2"/>
      <c r="G13" s="2"/>
      <c r="H13" t="s">
        <v>33</v>
      </c>
      <c r="I13" s="14">
        <f t="shared" si="0"/>
        <v>0</v>
      </c>
      <c r="J13" s="14"/>
      <c r="K13" s="14"/>
      <c r="L13" s="14"/>
      <c r="M13" s="14"/>
    </row>
    <row r="14" spans="1:14" x14ac:dyDescent="0.25">
      <c r="A14">
        <v>6</v>
      </c>
      <c r="B14" t="s">
        <v>77</v>
      </c>
      <c r="C14" t="s">
        <v>83</v>
      </c>
      <c r="D14" t="s">
        <v>42</v>
      </c>
      <c r="E14" s="2">
        <v>46098</v>
      </c>
      <c r="F14" s="2"/>
      <c r="G14" s="2"/>
      <c r="H14" t="s">
        <v>33</v>
      </c>
      <c r="I14" s="14">
        <f t="shared" si="0"/>
        <v>0</v>
      </c>
      <c r="J14" s="14"/>
      <c r="K14" s="14"/>
      <c r="L14" s="14"/>
      <c r="M14" s="14"/>
    </row>
    <row r="15" spans="1:14" x14ac:dyDescent="0.25">
      <c r="A15">
        <v>7</v>
      </c>
      <c r="B15" t="s">
        <v>77</v>
      </c>
      <c r="C15" t="s">
        <v>84</v>
      </c>
      <c r="D15" t="s">
        <v>42</v>
      </c>
      <c r="E15" s="2">
        <v>46098</v>
      </c>
      <c r="F15" s="2"/>
      <c r="G15" s="2"/>
      <c r="H15" t="s">
        <v>33</v>
      </c>
      <c r="I15" s="14">
        <f t="shared" si="0"/>
        <v>0</v>
      </c>
      <c r="L15" s="14"/>
    </row>
    <row r="16" spans="1:14" x14ac:dyDescent="0.25">
      <c r="A16">
        <v>8</v>
      </c>
      <c r="B16" t="s">
        <v>86</v>
      </c>
      <c r="C16" t="s">
        <v>85</v>
      </c>
      <c r="D16" t="s">
        <v>43</v>
      </c>
      <c r="E16" s="2">
        <v>46099</v>
      </c>
      <c r="F16" s="2"/>
      <c r="G16" s="2"/>
      <c r="H16" t="s">
        <v>33</v>
      </c>
      <c r="I16" s="14">
        <f t="shared" si="0"/>
        <v>0</v>
      </c>
      <c r="L16" s="14"/>
    </row>
    <row r="17" spans="1:14" x14ac:dyDescent="0.25">
      <c r="A17">
        <v>9</v>
      </c>
      <c r="B17" t="s">
        <v>86</v>
      </c>
      <c r="C17" t="s">
        <v>85</v>
      </c>
      <c r="D17" t="s">
        <v>43</v>
      </c>
      <c r="E17" s="2">
        <v>46099</v>
      </c>
      <c r="F17" s="2"/>
      <c r="G17" s="2"/>
      <c r="H17" t="s">
        <v>33</v>
      </c>
      <c r="I17" s="14">
        <f t="shared" si="0"/>
        <v>0</v>
      </c>
      <c r="L17" s="14"/>
    </row>
    <row r="18" spans="1:14" x14ac:dyDescent="0.25">
      <c r="A18">
        <v>10</v>
      </c>
      <c r="B18" t="s">
        <v>86</v>
      </c>
      <c r="C18" t="s">
        <v>85</v>
      </c>
      <c r="D18" t="s">
        <v>43</v>
      </c>
      <c r="E18" s="2">
        <v>46100</v>
      </c>
      <c r="F18" s="2"/>
      <c r="G18" s="2"/>
      <c r="H18" t="s">
        <v>33</v>
      </c>
      <c r="I18" s="14">
        <f t="shared" si="0"/>
        <v>0</v>
      </c>
      <c r="L18" s="14"/>
    </row>
    <row r="19" spans="1:14" x14ac:dyDescent="0.25">
      <c r="A19">
        <v>11</v>
      </c>
      <c r="B19" t="s">
        <v>77</v>
      </c>
      <c r="C19" t="s">
        <v>79</v>
      </c>
      <c r="D19" t="s">
        <v>42</v>
      </c>
      <c r="E19" s="2">
        <v>46100</v>
      </c>
      <c r="F19" s="2"/>
      <c r="G19" s="2"/>
      <c r="H19" t="s">
        <v>33</v>
      </c>
      <c r="I19" s="14">
        <f t="shared" si="0"/>
        <v>0</v>
      </c>
      <c r="L19" s="14"/>
    </row>
    <row r="20" spans="1:14" x14ac:dyDescent="0.25">
      <c r="A20">
        <v>12</v>
      </c>
      <c r="B20" t="s">
        <v>77</v>
      </c>
      <c r="C20" t="s">
        <v>79</v>
      </c>
      <c r="D20" t="s">
        <v>42</v>
      </c>
      <c r="E20" s="2">
        <v>46101</v>
      </c>
      <c r="F20" s="2"/>
      <c r="G20" s="2"/>
      <c r="H20" t="s">
        <v>33</v>
      </c>
      <c r="I20" s="14">
        <f t="shared" si="0"/>
        <v>0</v>
      </c>
      <c r="L20" s="14"/>
    </row>
    <row r="21" spans="1:14" x14ac:dyDescent="0.25">
      <c r="A21">
        <v>13</v>
      </c>
      <c r="B21" t="s">
        <v>77</v>
      </c>
      <c r="C21" t="s">
        <v>79</v>
      </c>
      <c r="D21" t="s">
        <v>42</v>
      </c>
      <c r="E21" s="2">
        <v>46101</v>
      </c>
      <c r="F21" s="2"/>
      <c r="G21" s="2"/>
      <c r="H21" t="s">
        <v>33</v>
      </c>
      <c r="I21" s="14">
        <f t="shared" si="0"/>
        <v>0</v>
      </c>
      <c r="L21" s="14"/>
    </row>
    <row r="22" spans="1:14" x14ac:dyDescent="0.25">
      <c r="A22">
        <v>14</v>
      </c>
      <c r="B22" t="s">
        <v>77</v>
      </c>
      <c r="C22" t="s">
        <v>79</v>
      </c>
      <c r="D22" t="s">
        <v>47</v>
      </c>
      <c r="E22" s="2">
        <v>46101</v>
      </c>
      <c r="H22" t="s">
        <v>33</v>
      </c>
      <c r="I22" s="14">
        <f t="shared" si="0"/>
        <v>0</v>
      </c>
      <c r="L22" s="14"/>
    </row>
    <row r="23" spans="1:14" x14ac:dyDescent="0.25">
      <c r="A23">
        <v>15</v>
      </c>
      <c r="B23" t="s">
        <v>77</v>
      </c>
      <c r="C23" t="s">
        <v>79</v>
      </c>
      <c r="D23" t="s">
        <v>42</v>
      </c>
      <c r="E23" s="2">
        <v>46104</v>
      </c>
      <c r="H23" t="s">
        <v>33</v>
      </c>
      <c r="I23" s="14">
        <f t="shared" si="0"/>
        <v>0</v>
      </c>
      <c r="L23" s="14"/>
    </row>
    <row r="24" spans="1:14" x14ac:dyDescent="0.25">
      <c r="A24">
        <v>16</v>
      </c>
      <c r="B24" t="s">
        <v>77</v>
      </c>
      <c r="C24" t="s">
        <v>79</v>
      </c>
      <c r="D24" t="s">
        <v>42</v>
      </c>
      <c r="E24" s="2">
        <v>46105</v>
      </c>
      <c r="H24" t="s">
        <v>33</v>
      </c>
      <c r="I24" s="14">
        <f t="shared" si="0"/>
        <v>0</v>
      </c>
      <c r="L24" s="14"/>
    </row>
    <row r="25" spans="1:14" x14ac:dyDescent="0.25">
      <c r="A25">
        <v>17</v>
      </c>
      <c r="B25" t="s">
        <v>77</v>
      </c>
      <c r="C25" t="s">
        <v>79</v>
      </c>
      <c r="D25" t="s">
        <v>47</v>
      </c>
      <c r="E25" s="2">
        <v>46106</v>
      </c>
      <c r="H25" t="s">
        <v>33</v>
      </c>
      <c r="I25" s="14">
        <f t="shared" si="0"/>
        <v>0</v>
      </c>
      <c r="L25" s="14"/>
    </row>
    <row r="26" spans="1:14" x14ac:dyDescent="0.25">
      <c r="A26">
        <v>18</v>
      </c>
      <c r="B26" t="s">
        <v>86</v>
      </c>
      <c r="C26" t="s">
        <v>87</v>
      </c>
      <c r="D26" t="s">
        <v>43</v>
      </c>
      <c r="E26" s="2">
        <v>46107</v>
      </c>
      <c r="H26" t="s">
        <v>33</v>
      </c>
      <c r="I26" s="14">
        <f t="shared" si="0"/>
        <v>0</v>
      </c>
      <c r="L26" s="14"/>
    </row>
    <row r="27" spans="1:14" x14ac:dyDescent="0.25">
      <c r="A27">
        <v>19</v>
      </c>
      <c r="B27" t="s">
        <v>77</v>
      </c>
      <c r="C27" t="s">
        <v>79</v>
      </c>
      <c r="D27" t="s">
        <v>42</v>
      </c>
      <c r="E27" s="2">
        <v>46107</v>
      </c>
      <c r="H27" t="s">
        <v>33</v>
      </c>
      <c r="I27" s="14">
        <f t="shared" si="0"/>
        <v>0</v>
      </c>
      <c r="L27" s="14"/>
    </row>
    <row r="28" spans="1:14" x14ac:dyDescent="0.25">
      <c r="A28">
        <v>20</v>
      </c>
      <c r="B28" t="s">
        <v>77</v>
      </c>
      <c r="C28" t="s">
        <v>79</v>
      </c>
      <c r="D28" t="s">
        <v>47</v>
      </c>
      <c r="E28" s="2">
        <v>46108</v>
      </c>
      <c r="H28" t="s">
        <v>33</v>
      </c>
      <c r="I28" s="14">
        <f t="shared" si="0"/>
        <v>0</v>
      </c>
      <c r="L28" s="14"/>
    </row>
    <row r="29" spans="1:14" x14ac:dyDescent="0.25">
      <c r="A29">
        <v>21</v>
      </c>
      <c r="B29" t="s">
        <v>86</v>
      </c>
      <c r="C29" t="s">
        <v>87</v>
      </c>
      <c r="D29" t="s">
        <v>43</v>
      </c>
      <c r="E29" s="2">
        <v>46108</v>
      </c>
      <c r="H29" t="s">
        <v>33</v>
      </c>
      <c r="I29" s="14">
        <f t="shared" si="0"/>
        <v>0</v>
      </c>
      <c r="L29" s="14"/>
    </row>
    <row r="30" spans="1:14" x14ac:dyDescent="0.25">
      <c r="A30">
        <v>22</v>
      </c>
      <c r="B30" t="s">
        <v>77</v>
      </c>
      <c r="C30" t="s">
        <v>79</v>
      </c>
      <c r="D30" t="s">
        <v>42</v>
      </c>
      <c r="E30" s="2">
        <v>46111</v>
      </c>
      <c r="H30" t="s">
        <v>31</v>
      </c>
      <c r="I30" s="14">
        <f t="shared" si="0"/>
        <v>0</v>
      </c>
      <c r="J30" s="27"/>
      <c r="K30" s="27"/>
      <c r="L30" s="28"/>
      <c r="M30" s="27"/>
      <c r="N30" s="27"/>
    </row>
    <row r="31" spans="1:14" x14ac:dyDescent="0.25">
      <c r="A31">
        <v>23</v>
      </c>
      <c r="B31" t="s">
        <v>77</v>
      </c>
      <c r="C31" t="s">
        <v>79</v>
      </c>
      <c r="D31" t="s">
        <v>42</v>
      </c>
      <c r="E31" s="2">
        <v>46111</v>
      </c>
      <c r="H31" t="s">
        <v>31</v>
      </c>
      <c r="I31" s="14">
        <f t="shared" si="0"/>
        <v>0</v>
      </c>
      <c r="J31" s="27"/>
      <c r="K31" s="27"/>
      <c r="L31" s="28"/>
      <c r="M31" s="27"/>
      <c r="N31" s="27"/>
    </row>
    <row r="32" spans="1:14" x14ac:dyDescent="0.25">
      <c r="A32">
        <v>24</v>
      </c>
      <c r="B32" t="s">
        <v>77</v>
      </c>
      <c r="C32" t="s">
        <v>79</v>
      </c>
      <c r="D32" t="s">
        <v>42</v>
      </c>
      <c r="E32" s="2">
        <v>46111</v>
      </c>
      <c r="H32" t="s">
        <v>31</v>
      </c>
      <c r="I32" s="14">
        <f t="shared" si="0"/>
        <v>0</v>
      </c>
      <c r="J32" s="27"/>
      <c r="K32" s="27"/>
      <c r="L32" s="28"/>
      <c r="M32" s="27"/>
      <c r="N32" s="27"/>
    </row>
    <row r="33" spans="1:14" x14ac:dyDescent="0.25">
      <c r="A33">
        <v>25</v>
      </c>
      <c r="B33" t="s">
        <v>77</v>
      </c>
      <c r="C33" t="s">
        <v>79</v>
      </c>
      <c r="D33" t="s">
        <v>47</v>
      </c>
      <c r="E33" s="2">
        <v>46111</v>
      </c>
      <c r="H33" t="s">
        <v>31</v>
      </c>
      <c r="I33" s="14">
        <f t="shared" si="0"/>
        <v>0</v>
      </c>
      <c r="J33" s="27"/>
      <c r="K33" s="27"/>
      <c r="L33" s="28"/>
      <c r="M33" s="27"/>
      <c r="N33" s="27"/>
    </row>
    <row r="34" spans="1:14" x14ac:dyDescent="0.25">
      <c r="A34">
        <v>26</v>
      </c>
      <c r="B34" t="s">
        <v>77</v>
      </c>
      <c r="C34" t="s">
        <v>79</v>
      </c>
      <c r="D34" t="s">
        <v>42</v>
      </c>
      <c r="E34" s="2">
        <v>46112</v>
      </c>
      <c r="H34" t="s">
        <v>31</v>
      </c>
      <c r="I34" s="14">
        <f t="shared" si="0"/>
        <v>0</v>
      </c>
      <c r="J34" s="27"/>
      <c r="K34" s="27"/>
      <c r="L34" s="28"/>
      <c r="M34" s="27"/>
      <c r="N34" s="27"/>
    </row>
    <row r="35" spans="1:14" x14ac:dyDescent="0.25">
      <c r="A35">
        <v>27</v>
      </c>
      <c r="B35" t="s">
        <v>77</v>
      </c>
      <c r="C35" t="s">
        <v>79</v>
      </c>
      <c r="D35" t="s">
        <v>47</v>
      </c>
      <c r="E35" s="2">
        <v>46112</v>
      </c>
      <c r="H35" t="s">
        <v>31</v>
      </c>
      <c r="I35" s="14">
        <f t="shared" si="0"/>
        <v>0</v>
      </c>
      <c r="J35" s="27"/>
      <c r="K35" s="27"/>
      <c r="L35" s="28"/>
      <c r="M35" s="27"/>
      <c r="N35" s="27"/>
    </row>
    <row r="36" spans="1:14" x14ac:dyDescent="0.25">
      <c r="A36">
        <v>28</v>
      </c>
      <c r="B36" t="s">
        <v>77</v>
      </c>
      <c r="C36" t="s">
        <v>79</v>
      </c>
      <c r="D36" t="s">
        <v>42</v>
      </c>
      <c r="E36" s="2">
        <v>46113</v>
      </c>
      <c r="H36" t="s">
        <v>31</v>
      </c>
      <c r="I36" s="14">
        <f t="shared" si="0"/>
        <v>0</v>
      </c>
      <c r="J36" s="27"/>
      <c r="K36" s="27"/>
      <c r="L36" s="28"/>
      <c r="M36" s="27"/>
      <c r="N36" s="27"/>
    </row>
    <row r="37" spans="1:14" x14ac:dyDescent="0.25">
      <c r="A37">
        <v>29</v>
      </c>
      <c r="B37" t="s">
        <v>77</v>
      </c>
      <c r="C37" t="s">
        <v>79</v>
      </c>
      <c r="D37" t="s">
        <v>42</v>
      </c>
      <c r="E37" s="2">
        <v>46113</v>
      </c>
      <c r="H37" t="s">
        <v>31</v>
      </c>
      <c r="I37" s="14">
        <f t="shared" si="0"/>
        <v>0</v>
      </c>
      <c r="J37" s="27"/>
      <c r="K37" s="27"/>
      <c r="L37" s="28"/>
      <c r="M37" s="27"/>
      <c r="N37" s="27"/>
    </row>
    <row r="38" spans="1:14" x14ac:dyDescent="0.25">
      <c r="A38">
        <v>30</v>
      </c>
      <c r="B38" t="s">
        <v>86</v>
      </c>
      <c r="C38" t="s">
        <v>87</v>
      </c>
      <c r="D38" t="s">
        <v>43</v>
      </c>
      <c r="E38" s="2">
        <v>46114</v>
      </c>
      <c r="H38" t="s">
        <v>31</v>
      </c>
      <c r="I38" s="14">
        <f t="shared" si="0"/>
        <v>0</v>
      </c>
      <c r="J38" s="27"/>
      <c r="K38" s="27"/>
      <c r="L38" s="28"/>
      <c r="M38" s="27"/>
      <c r="N38" s="27"/>
    </row>
    <row r="39" spans="1:14" x14ac:dyDescent="0.25">
      <c r="A39">
        <v>31</v>
      </c>
      <c r="B39" t="s">
        <v>77</v>
      </c>
      <c r="C39" t="s">
        <v>79</v>
      </c>
      <c r="D39" t="s">
        <v>42</v>
      </c>
      <c r="E39" s="2">
        <v>46114</v>
      </c>
      <c r="H39" t="s">
        <v>31</v>
      </c>
      <c r="I39" s="14">
        <f t="shared" si="0"/>
        <v>0</v>
      </c>
      <c r="J39" s="27"/>
      <c r="K39" s="27"/>
      <c r="L39" s="28"/>
      <c r="M39" s="27"/>
      <c r="N39" s="27"/>
    </row>
    <row r="40" spans="1:14" x14ac:dyDescent="0.25">
      <c r="A40">
        <v>32</v>
      </c>
      <c r="B40" t="s">
        <v>77</v>
      </c>
      <c r="C40" t="s">
        <v>79</v>
      </c>
      <c r="D40" t="s">
        <v>42</v>
      </c>
      <c r="E40" s="2">
        <v>46115</v>
      </c>
      <c r="H40" t="s">
        <v>31</v>
      </c>
      <c r="I40" s="14">
        <f t="shared" si="0"/>
        <v>0</v>
      </c>
      <c r="J40" s="27"/>
      <c r="K40" s="27"/>
      <c r="L40" s="28"/>
      <c r="M40" s="27"/>
      <c r="N40" s="27"/>
    </row>
    <row r="41" spans="1:14" x14ac:dyDescent="0.25">
      <c r="A41">
        <v>33</v>
      </c>
      <c r="B41" t="s">
        <v>77</v>
      </c>
      <c r="C41" t="s">
        <v>79</v>
      </c>
      <c r="D41" t="s">
        <v>42</v>
      </c>
      <c r="E41" s="2">
        <v>46118</v>
      </c>
      <c r="H41" t="s">
        <v>31</v>
      </c>
      <c r="I41" s="14">
        <f>SUM(J41:N41)</f>
        <v>0</v>
      </c>
      <c r="J41" s="27"/>
      <c r="L41" s="28"/>
      <c r="M41" s="27"/>
      <c r="N41" s="27"/>
    </row>
    <row r="42" spans="1:14" x14ac:dyDescent="0.25">
      <c r="A42">
        <v>34</v>
      </c>
      <c r="B42" t="s">
        <v>77</v>
      </c>
      <c r="C42" t="s">
        <v>79</v>
      </c>
      <c r="D42" t="s">
        <v>42</v>
      </c>
      <c r="E42" s="2">
        <v>46119</v>
      </c>
      <c r="H42" t="s">
        <v>31</v>
      </c>
      <c r="I42" s="14">
        <f>SUM(J42:N42)</f>
        <v>0</v>
      </c>
      <c r="J42" s="27"/>
      <c r="L42" s="28"/>
      <c r="M42" s="27"/>
      <c r="N42" s="27"/>
    </row>
    <row r="43" spans="1:14" x14ac:dyDescent="0.25">
      <c r="A43">
        <v>35</v>
      </c>
      <c r="B43" t="s">
        <v>77</v>
      </c>
      <c r="C43" t="s">
        <v>79</v>
      </c>
      <c r="D43" t="s">
        <v>42</v>
      </c>
      <c r="E43" s="2">
        <v>46120</v>
      </c>
      <c r="H43" t="s">
        <v>31</v>
      </c>
      <c r="I43" s="14">
        <f>SUM(J43:N43)</f>
        <v>0</v>
      </c>
      <c r="J43" s="27"/>
      <c r="L43" s="28"/>
      <c r="M43" s="27"/>
      <c r="N43" s="27"/>
    </row>
    <row r="44" spans="1:14" x14ac:dyDescent="0.25">
      <c r="A44">
        <v>36</v>
      </c>
      <c r="B44" t="s">
        <v>77</v>
      </c>
      <c r="C44" t="s">
        <v>79</v>
      </c>
      <c r="D44" t="s">
        <v>42</v>
      </c>
      <c r="E44" s="2">
        <v>46121</v>
      </c>
      <c r="H44" t="s">
        <v>31</v>
      </c>
      <c r="I44" s="14">
        <f>SUM(J44:N44)</f>
        <v>0</v>
      </c>
      <c r="J44" s="27"/>
      <c r="L44" s="28"/>
      <c r="M44" s="27"/>
      <c r="N44" s="27"/>
    </row>
    <row r="45" spans="1:14" x14ac:dyDescent="0.25">
      <c r="A45">
        <v>37</v>
      </c>
      <c r="B45" t="s">
        <v>77</v>
      </c>
      <c r="C45" t="s">
        <v>79</v>
      </c>
      <c r="D45" t="s">
        <v>42</v>
      </c>
      <c r="E45" s="2">
        <v>46122</v>
      </c>
      <c r="H45" t="s">
        <v>31</v>
      </c>
      <c r="I45" s="14">
        <f>SUM(J45:N45)</f>
        <v>0</v>
      </c>
      <c r="J45" s="27"/>
      <c r="L45" s="28"/>
      <c r="M45" s="27"/>
      <c r="N45" s="27"/>
    </row>
    <row r="46" spans="1:14" x14ac:dyDescent="0.25">
      <c r="A46">
        <v>38</v>
      </c>
      <c r="B46" t="s">
        <v>77</v>
      </c>
      <c r="C46" t="s">
        <v>79</v>
      </c>
      <c r="D46" t="s">
        <v>42</v>
      </c>
      <c r="E46" s="2">
        <v>46125</v>
      </c>
      <c r="H46" t="s">
        <v>31</v>
      </c>
      <c r="I46" s="14">
        <f t="shared" ref="I46:I48" si="1">SUM(J46:N46)</f>
        <v>0</v>
      </c>
      <c r="J46" s="27"/>
      <c r="K46" s="27"/>
      <c r="L46" s="28"/>
      <c r="M46" s="27"/>
      <c r="N46" s="27"/>
    </row>
    <row r="47" spans="1:14" x14ac:dyDescent="0.25">
      <c r="A47">
        <v>39</v>
      </c>
      <c r="B47" t="s">
        <v>77</v>
      </c>
      <c r="C47" t="s">
        <v>87</v>
      </c>
      <c r="D47" t="s">
        <v>43</v>
      </c>
      <c r="E47" s="2">
        <v>46125</v>
      </c>
      <c r="H47" t="s">
        <v>31</v>
      </c>
      <c r="I47" s="14">
        <f t="shared" si="1"/>
        <v>0</v>
      </c>
      <c r="J47" s="27"/>
      <c r="K47" s="27"/>
      <c r="L47" s="28"/>
      <c r="M47" s="27"/>
      <c r="N47" s="27"/>
    </row>
    <row r="48" spans="1:14" x14ac:dyDescent="0.25">
      <c r="A48">
        <v>40</v>
      </c>
      <c r="B48" t="s">
        <v>86</v>
      </c>
      <c r="C48" t="s">
        <v>87</v>
      </c>
      <c r="D48" t="s">
        <v>43</v>
      </c>
      <c r="E48" s="2">
        <v>46126</v>
      </c>
      <c r="H48" t="s">
        <v>31</v>
      </c>
      <c r="I48" s="14">
        <f t="shared" si="1"/>
        <v>0</v>
      </c>
      <c r="J48" s="27"/>
      <c r="K48" s="27"/>
      <c r="L48" s="28"/>
      <c r="M48" s="27"/>
      <c r="N48" s="27"/>
    </row>
    <row r="49" spans="1:14" x14ac:dyDescent="0.25">
      <c r="A49">
        <v>41</v>
      </c>
      <c r="B49" t="s">
        <v>77</v>
      </c>
      <c r="C49" t="s">
        <v>79</v>
      </c>
      <c r="D49" t="s">
        <v>42</v>
      </c>
      <c r="E49" s="2">
        <v>46126</v>
      </c>
      <c r="H49" t="s">
        <v>31</v>
      </c>
      <c r="I49" s="14">
        <f t="shared" ref="I49:I58" si="2">SUM(J49:N49)</f>
        <v>0</v>
      </c>
      <c r="J49" s="27"/>
      <c r="K49" s="27"/>
      <c r="L49" s="28"/>
      <c r="M49" s="27"/>
      <c r="N49" s="27"/>
    </row>
    <row r="50" spans="1:14" x14ac:dyDescent="0.25">
      <c r="A50">
        <v>42</v>
      </c>
      <c r="B50" t="s">
        <v>77</v>
      </c>
      <c r="C50" t="s">
        <v>79</v>
      </c>
      <c r="D50" t="s">
        <v>42</v>
      </c>
      <c r="E50" s="2">
        <v>46127</v>
      </c>
      <c r="H50" t="s">
        <v>31</v>
      </c>
      <c r="I50" s="14">
        <f t="shared" si="2"/>
        <v>0</v>
      </c>
      <c r="J50" s="27"/>
      <c r="K50" s="27"/>
      <c r="L50" s="28"/>
      <c r="M50" s="27"/>
      <c r="N50" s="27"/>
    </row>
    <row r="51" spans="1:14" x14ac:dyDescent="0.25">
      <c r="A51">
        <v>43</v>
      </c>
      <c r="B51" t="s">
        <v>77</v>
      </c>
      <c r="C51" t="s">
        <v>79</v>
      </c>
      <c r="D51" t="s">
        <v>42</v>
      </c>
      <c r="E51" s="2">
        <v>46128</v>
      </c>
      <c r="H51" t="s">
        <v>31</v>
      </c>
      <c r="I51" s="14">
        <f t="shared" si="2"/>
        <v>0</v>
      </c>
      <c r="J51" s="27"/>
      <c r="K51" s="27"/>
      <c r="L51" s="28"/>
      <c r="M51" s="27"/>
      <c r="N51" s="27"/>
    </row>
    <row r="52" spans="1:14" x14ac:dyDescent="0.25">
      <c r="A52">
        <v>44</v>
      </c>
      <c r="B52" t="s">
        <v>77</v>
      </c>
      <c r="C52" t="s">
        <v>79</v>
      </c>
      <c r="D52" t="s">
        <v>42</v>
      </c>
      <c r="E52" s="2">
        <v>46129</v>
      </c>
      <c r="H52" t="s">
        <v>31</v>
      </c>
      <c r="I52" s="14">
        <f t="shared" si="2"/>
        <v>0</v>
      </c>
      <c r="J52" s="27"/>
      <c r="K52" s="27"/>
      <c r="L52" s="28"/>
      <c r="M52" s="27"/>
      <c r="N52" s="27"/>
    </row>
    <row r="53" spans="1:14" x14ac:dyDescent="0.25">
      <c r="A53">
        <v>45</v>
      </c>
      <c r="B53" t="s">
        <v>77</v>
      </c>
      <c r="C53" t="s">
        <v>79</v>
      </c>
      <c r="D53" t="s">
        <v>42</v>
      </c>
      <c r="E53" s="2">
        <v>46132</v>
      </c>
      <c r="H53" t="s">
        <v>31</v>
      </c>
      <c r="I53" s="14">
        <f t="shared" si="2"/>
        <v>0</v>
      </c>
      <c r="J53" s="27"/>
      <c r="L53" s="28"/>
      <c r="M53" s="27"/>
      <c r="N53" s="27"/>
    </row>
    <row r="54" spans="1:14" x14ac:dyDescent="0.25">
      <c r="A54">
        <v>46</v>
      </c>
      <c r="B54" t="s">
        <v>77</v>
      </c>
      <c r="C54" t="s">
        <v>79</v>
      </c>
      <c r="D54" t="s">
        <v>42</v>
      </c>
      <c r="E54" s="2">
        <v>46133</v>
      </c>
      <c r="H54" t="s">
        <v>31</v>
      </c>
      <c r="I54" s="14">
        <f t="shared" si="2"/>
        <v>0</v>
      </c>
      <c r="J54" s="27"/>
      <c r="L54" s="28"/>
      <c r="M54" s="27"/>
      <c r="N54" s="27"/>
    </row>
    <row r="55" spans="1:14" x14ac:dyDescent="0.25">
      <c r="A55">
        <v>47</v>
      </c>
      <c r="B55" t="s">
        <v>77</v>
      </c>
      <c r="C55" t="s">
        <v>79</v>
      </c>
      <c r="D55" t="s">
        <v>42</v>
      </c>
      <c r="E55" s="2">
        <v>46134</v>
      </c>
      <c r="H55" t="s">
        <v>31</v>
      </c>
      <c r="I55" s="14">
        <f t="shared" si="2"/>
        <v>0</v>
      </c>
      <c r="J55" s="27"/>
      <c r="L55" s="28"/>
      <c r="M55" s="27"/>
      <c r="N55" s="27"/>
    </row>
    <row r="56" spans="1:14" x14ac:dyDescent="0.25">
      <c r="A56">
        <v>48</v>
      </c>
      <c r="B56" t="s">
        <v>77</v>
      </c>
      <c r="C56" t="s">
        <v>79</v>
      </c>
      <c r="D56" t="s">
        <v>42</v>
      </c>
      <c r="E56" s="2">
        <v>46135</v>
      </c>
      <c r="H56" t="s">
        <v>31</v>
      </c>
      <c r="I56" s="14">
        <f t="shared" si="2"/>
        <v>0</v>
      </c>
      <c r="J56" s="27"/>
      <c r="L56" s="28"/>
      <c r="M56" s="27"/>
      <c r="N56" s="27"/>
    </row>
    <row r="57" spans="1:14" x14ac:dyDescent="0.25">
      <c r="A57">
        <v>49</v>
      </c>
      <c r="B57" t="s">
        <v>86</v>
      </c>
      <c r="C57" t="s">
        <v>85</v>
      </c>
      <c r="D57" t="s">
        <v>43</v>
      </c>
      <c r="E57" s="2">
        <v>46136</v>
      </c>
      <c r="H57" t="s">
        <v>31</v>
      </c>
      <c r="I57" s="14">
        <f t="shared" si="2"/>
        <v>0</v>
      </c>
      <c r="J57" s="27"/>
      <c r="L57" s="28"/>
      <c r="M57" s="27"/>
      <c r="N57" s="27"/>
    </row>
    <row r="58" spans="1:14" x14ac:dyDescent="0.25">
      <c r="A58">
        <v>50</v>
      </c>
      <c r="B58" t="s">
        <v>86</v>
      </c>
      <c r="C58" t="s">
        <v>87</v>
      </c>
      <c r="D58" t="s">
        <v>43</v>
      </c>
      <c r="E58" s="2">
        <v>46136</v>
      </c>
      <c r="H58" t="s">
        <v>31</v>
      </c>
      <c r="I58" s="14">
        <f t="shared" si="2"/>
        <v>0</v>
      </c>
      <c r="J58" s="27"/>
      <c r="L58" s="28"/>
      <c r="M58" s="27"/>
      <c r="N58" s="27"/>
    </row>
    <row r="59" spans="1:14" x14ac:dyDescent="0.25">
      <c r="A59">
        <v>51</v>
      </c>
      <c r="B59" t="s">
        <v>77</v>
      </c>
      <c r="C59" t="s">
        <v>79</v>
      </c>
      <c r="D59" t="s">
        <v>42</v>
      </c>
      <c r="E59" s="2">
        <v>46139</v>
      </c>
      <c r="H59" t="s">
        <v>31</v>
      </c>
      <c r="I59" s="14">
        <f t="shared" ref="I59:I75" si="3">SUM(J59:N59)</f>
        <v>0</v>
      </c>
      <c r="J59" s="27"/>
      <c r="L59" s="28"/>
      <c r="M59" s="27"/>
      <c r="N59" s="27"/>
    </row>
    <row r="60" spans="1:14" x14ac:dyDescent="0.25">
      <c r="A60">
        <v>52</v>
      </c>
      <c r="B60" t="s">
        <v>77</v>
      </c>
      <c r="C60" t="s">
        <v>79</v>
      </c>
      <c r="D60" t="s">
        <v>42</v>
      </c>
      <c r="E60" s="2">
        <v>46140</v>
      </c>
      <c r="H60" t="s">
        <v>31</v>
      </c>
      <c r="I60" s="14">
        <f t="shared" si="3"/>
        <v>0</v>
      </c>
      <c r="J60" s="27"/>
      <c r="L60" s="28"/>
      <c r="M60" s="27"/>
      <c r="N60" s="27"/>
    </row>
    <row r="61" spans="1:14" x14ac:dyDescent="0.25">
      <c r="A61">
        <v>53</v>
      </c>
      <c r="B61" t="s">
        <v>77</v>
      </c>
      <c r="C61" t="s">
        <v>79</v>
      </c>
      <c r="D61" t="s">
        <v>42</v>
      </c>
      <c r="E61" s="2">
        <v>46141</v>
      </c>
      <c r="H61" t="s">
        <v>31</v>
      </c>
      <c r="I61" s="14">
        <f t="shared" si="3"/>
        <v>0</v>
      </c>
      <c r="J61" s="27"/>
      <c r="L61" s="28"/>
      <c r="M61" s="27"/>
      <c r="N61" s="27"/>
    </row>
    <row r="62" spans="1:14" x14ac:dyDescent="0.25">
      <c r="A62">
        <v>54</v>
      </c>
      <c r="B62" t="s">
        <v>77</v>
      </c>
      <c r="C62" t="s">
        <v>79</v>
      </c>
      <c r="D62" t="s">
        <v>42</v>
      </c>
      <c r="E62" s="2">
        <v>46141</v>
      </c>
      <c r="H62" t="s">
        <v>31</v>
      </c>
      <c r="I62" s="14">
        <f t="shared" si="3"/>
        <v>0</v>
      </c>
      <c r="J62" s="27"/>
      <c r="L62" s="28"/>
      <c r="M62" s="27"/>
      <c r="N62" s="27"/>
    </row>
    <row r="63" spans="1:14" x14ac:dyDescent="0.25">
      <c r="A63">
        <v>55</v>
      </c>
      <c r="B63" t="s">
        <v>77</v>
      </c>
      <c r="C63" t="s">
        <v>79</v>
      </c>
      <c r="D63" t="s">
        <v>42</v>
      </c>
      <c r="E63" s="2">
        <v>46142</v>
      </c>
      <c r="H63" t="s">
        <v>31</v>
      </c>
      <c r="I63" s="14">
        <f t="shared" si="3"/>
        <v>0</v>
      </c>
      <c r="J63" s="27"/>
      <c r="L63" s="28"/>
      <c r="M63" s="27"/>
      <c r="N63" s="27"/>
    </row>
    <row r="64" spans="1:14" x14ac:dyDescent="0.25">
      <c r="A64">
        <v>56</v>
      </c>
      <c r="B64" t="s">
        <v>77</v>
      </c>
      <c r="C64" t="s">
        <v>87</v>
      </c>
      <c r="D64" t="s">
        <v>42</v>
      </c>
      <c r="E64" s="2">
        <v>46142</v>
      </c>
      <c r="H64" t="s">
        <v>31</v>
      </c>
      <c r="I64" s="14">
        <f t="shared" si="3"/>
        <v>0</v>
      </c>
      <c r="J64" s="27"/>
      <c r="L64" s="28"/>
      <c r="M64" s="27"/>
      <c r="N64" s="27"/>
    </row>
    <row r="65" spans="1:14" x14ac:dyDescent="0.25">
      <c r="A65">
        <v>57</v>
      </c>
      <c r="B65" t="s">
        <v>77</v>
      </c>
      <c r="C65" t="s">
        <v>79</v>
      </c>
      <c r="D65" t="s">
        <v>42</v>
      </c>
      <c r="E65" s="2">
        <v>46143</v>
      </c>
      <c r="H65" t="s">
        <v>31</v>
      </c>
      <c r="I65" s="14">
        <f t="shared" si="3"/>
        <v>0</v>
      </c>
      <c r="J65" s="27"/>
      <c r="L65" s="28"/>
      <c r="M65" s="27"/>
      <c r="N65" s="27"/>
    </row>
    <row r="66" spans="1:14" x14ac:dyDescent="0.25">
      <c r="A66">
        <v>58</v>
      </c>
      <c r="B66" t="s">
        <v>77</v>
      </c>
      <c r="C66" t="s">
        <v>79</v>
      </c>
      <c r="D66" t="s">
        <v>42</v>
      </c>
      <c r="E66" s="2">
        <v>46144</v>
      </c>
      <c r="H66" t="s">
        <v>31</v>
      </c>
      <c r="I66" s="14">
        <f t="shared" si="3"/>
        <v>8</v>
      </c>
      <c r="J66" s="27">
        <v>8</v>
      </c>
      <c r="L66" s="28"/>
      <c r="M66" s="27"/>
      <c r="N66" s="27"/>
    </row>
    <row r="67" spans="1:14" x14ac:dyDescent="0.25">
      <c r="A67">
        <v>59</v>
      </c>
      <c r="B67" t="s">
        <v>77</v>
      </c>
      <c r="C67" t="s">
        <v>79</v>
      </c>
      <c r="D67" t="s">
        <v>42</v>
      </c>
      <c r="E67" s="2">
        <v>46145</v>
      </c>
      <c r="H67" t="s">
        <v>31</v>
      </c>
      <c r="I67" s="14">
        <f t="shared" si="3"/>
        <v>8</v>
      </c>
      <c r="J67" s="27">
        <v>8</v>
      </c>
      <c r="L67" s="28"/>
      <c r="M67" s="27"/>
      <c r="N67" s="27"/>
    </row>
    <row r="68" spans="1:14" x14ac:dyDescent="0.25">
      <c r="A68">
        <v>60</v>
      </c>
      <c r="B68" t="s">
        <v>77</v>
      </c>
      <c r="C68" t="s">
        <v>79</v>
      </c>
      <c r="D68" t="s">
        <v>42</v>
      </c>
      <c r="E68" s="2">
        <v>46146</v>
      </c>
      <c r="H68" t="s">
        <v>31</v>
      </c>
      <c r="I68" s="14">
        <f t="shared" si="3"/>
        <v>8</v>
      </c>
      <c r="J68" s="27">
        <v>8</v>
      </c>
      <c r="L68" s="28"/>
      <c r="M68" s="27"/>
      <c r="N68" s="27"/>
    </row>
    <row r="69" spans="1:14" x14ac:dyDescent="0.25">
      <c r="A69">
        <v>61</v>
      </c>
      <c r="B69" t="s">
        <v>77</v>
      </c>
      <c r="C69" t="s">
        <v>79</v>
      </c>
      <c r="D69" t="s">
        <v>42</v>
      </c>
      <c r="E69" s="2">
        <v>46147</v>
      </c>
      <c r="H69" t="s">
        <v>31</v>
      </c>
      <c r="I69" s="14">
        <f t="shared" si="3"/>
        <v>8</v>
      </c>
      <c r="J69" s="27">
        <v>8</v>
      </c>
      <c r="L69" s="28"/>
      <c r="M69" s="27"/>
      <c r="N69" s="27"/>
    </row>
    <row r="70" spans="1:14" x14ac:dyDescent="0.25">
      <c r="A70">
        <v>62</v>
      </c>
      <c r="B70" t="s">
        <v>77</v>
      </c>
      <c r="C70" t="s">
        <v>79</v>
      </c>
      <c r="D70" t="s">
        <v>42</v>
      </c>
      <c r="E70" s="2">
        <v>46148</v>
      </c>
      <c r="H70" t="s">
        <v>31</v>
      </c>
      <c r="I70" s="14">
        <f t="shared" si="3"/>
        <v>8</v>
      </c>
      <c r="J70" s="27">
        <v>8</v>
      </c>
      <c r="L70" s="28"/>
      <c r="M70" s="27"/>
      <c r="N70" s="27"/>
    </row>
    <row r="71" spans="1:14" x14ac:dyDescent="0.25">
      <c r="A71">
        <v>63</v>
      </c>
      <c r="B71" t="s">
        <v>77</v>
      </c>
      <c r="C71" t="s">
        <v>79</v>
      </c>
      <c r="D71" t="s">
        <v>42</v>
      </c>
      <c r="E71" s="2">
        <v>46153</v>
      </c>
      <c r="H71" t="s">
        <v>31</v>
      </c>
      <c r="I71" s="14">
        <f t="shared" si="3"/>
        <v>8</v>
      </c>
      <c r="K71" s="27">
        <v>8</v>
      </c>
      <c r="L71" s="28"/>
      <c r="M71" s="27"/>
      <c r="N71" s="27"/>
    </row>
    <row r="72" spans="1:14" x14ac:dyDescent="0.25">
      <c r="A72">
        <v>64</v>
      </c>
      <c r="B72" t="s">
        <v>77</v>
      </c>
      <c r="C72" t="s">
        <v>79</v>
      </c>
      <c r="D72" t="s">
        <v>42</v>
      </c>
      <c r="E72" s="2">
        <v>46154</v>
      </c>
      <c r="H72" t="s">
        <v>31</v>
      </c>
      <c r="I72" s="14">
        <f t="shared" si="3"/>
        <v>8</v>
      </c>
      <c r="K72" s="27">
        <v>8</v>
      </c>
      <c r="L72" s="28"/>
      <c r="M72" s="27"/>
      <c r="N72" s="27"/>
    </row>
    <row r="73" spans="1:14" x14ac:dyDescent="0.25">
      <c r="A73">
        <v>65</v>
      </c>
      <c r="B73" t="s">
        <v>77</v>
      </c>
      <c r="C73" t="s">
        <v>79</v>
      </c>
      <c r="D73" t="s">
        <v>42</v>
      </c>
      <c r="E73" s="2">
        <v>46155</v>
      </c>
      <c r="H73" t="s">
        <v>31</v>
      </c>
      <c r="I73" s="14">
        <f t="shared" si="3"/>
        <v>8</v>
      </c>
      <c r="K73" s="27">
        <v>8</v>
      </c>
      <c r="L73" s="28"/>
      <c r="M73" s="27"/>
      <c r="N73" s="27"/>
    </row>
    <row r="74" spans="1:14" x14ac:dyDescent="0.25">
      <c r="A74">
        <v>66</v>
      </c>
      <c r="B74" t="s">
        <v>77</v>
      </c>
      <c r="C74" t="s">
        <v>79</v>
      </c>
      <c r="D74" t="s">
        <v>42</v>
      </c>
      <c r="E74" s="2">
        <v>46156</v>
      </c>
      <c r="H74" t="s">
        <v>31</v>
      </c>
      <c r="I74" s="14">
        <f t="shared" si="3"/>
        <v>8</v>
      </c>
      <c r="K74" s="27">
        <v>8</v>
      </c>
      <c r="L74" s="28"/>
      <c r="M74" s="27"/>
      <c r="N74" s="27"/>
    </row>
    <row r="75" spans="1:14" x14ac:dyDescent="0.25">
      <c r="A75">
        <v>67</v>
      </c>
      <c r="B75" t="s">
        <v>77</v>
      </c>
      <c r="C75" t="s">
        <v>79</v>
      </c>
      <c r="D75" t="s">
        <v>42</v>
      </c>
      <c r="E75" s="2">
        <v>46157</v>
      </c>
      <c r="H75" t="s">
        <v>31</v>
      </c>
      <c r="I75" s="14">
        <f t="shared" si="3"/>
        <v>8</v>
      </c>
      <c r="K75" s="27">
        <v>8</v>
      </c>
      <c r="L75" s="28"/>
      <c r="M75" s="27"/>
      <c r="N75" s="27"/>
    </row>
    <row r="76" spans="1:14" x14ac:dyDescent="0.25">
      <c r="E76" s="2"/>
      <c r="I76" s="14"/>
      <c r="J76" s="27"/>
      <c r="L76" s="28"/>
      <c r="M76" s="27"/>
      <c r="N76" s="27"/>
    </row>
    <row r="77" spans="1:14" ht="15.75" thickBot="1" x14ac:dyDescent="0.3">
      <c r="A77" s="13" t="s">
        <v>20</v>
      </c>
      <c r="B77" s="9"/>
      <c r="C77" s="9"/>
      <c r="D77" s="9"/>
      <c r="E77" s="9"/>
      <c r="F77" s="9"/>
      <c r="G77" s="9"/>
      <c r="H77" s="9"/>
      <c r="I77" s="15">
        <f>SUM(I8:I76)</f>
        <v>80</v>
      </c>
      <c r="J77" s="15">
        <f>SUM(J8:J76)</f>
        <v>40</v>
      </c>
      <c r="K77" s="15">
        <f>SUM(K8:K76)</f>
        <v>40</v>
      </c>
      <c r="L77" s="15">
        <f>SUM(L8:L76)</f>
        <v>0</v>
      </c>
      <c r="M77" s="15">
        <f>SUM(M8:M76)</f>
        <v>0</v>
      </c>
      <c r="N77" s="15">
        <f>SUM(N8:N76)</f>
        <v>0</v>
      </c>
    </row>
    <row r="78" spans="1:14" ht="15.75" thickTop="1" x14ac:dyDescent="0.25">
      <c r="I78" s="14"/>
      <c r="J78" s="14"/>
      <c r="K78" s="14"/>
      <c r="L78" s="14"/>
      <c r="M78" s="14"/>
      <c r="N78" s="14"/>
    </row>
    <row r="79" spans="1:14" x14ac:dyDescent="0.25">
      <c r="A79" s="1" t="s">
        <v>21</v>
      </c>
      <c r="I79" s="14"/>
      <c r="J79" s="14"/>
      <c r="K79" s="14"/>
      <c r="L79" s="14"/>
      <c r="M79" s="14"/>
      <c r="N79" s="14"/>
    </row>
    <row r="80" spans="1:14" x14ac:dyDescent="0.25">
      <c r="B80" t="s">
        <v>22</v>
      </c>
      <c r="C80" t="s">
        <v>22</v>
      </c>
      <c r="I80" s="14">
        <f t="shared" ref="I80:I84" si="4">SUM(J80:N80)</f>
        <v>0</v>
      </c>
      <c r="J80" s="14"/>
      <c r="K80" s="14"/>
      <c r="L80" s="14"/>
      <c r="M80" s="14"/>
      <c r="N80" s="14"/>
    </row>
    <row r="81" spans="1:14" x14ac:dyDescent="0.25">
      <c r="B81" t="s">
        <v>23</v>
      </c>
      <c r="I81" s="14">
        <f t="shared" si="4"/>
        <v>0</v>
      </c>
      <c r="J81" s="14"/>
      <c r="K81" s="14"/>
      <c r="L81" s="14"/>
      <c r="M81" s="14"/>
      <c r="N81" s="14"/>
    </row>
    <row r="82" spans="1:14" x14ac:dyDescent="0.25">
      <c r="B82" t="s">
        <v>24</v>
      </c>
      <c r="I82" s="14">
        <f t="shared" si="4"/>
        <v>0</v>
      </c>
      <c r="J82" s="14"/>
      <c r="K82" s="14"/>
      <c r="L82" s="14"/>
      <c r="M82" s="14"/>
      <c r="N82" s="14"/>
    </row>
    <row r="83" spans="1:14" x14ac:dyDescent="0.25">
      <c r="B83" t="s">
        <v>25</v>
      </c>
      <c r="I83" s="14">
        <f t="shared" si="4"/>
        <v>0</v>
      </c>
      <c r="J83" s="14"/>
      <c r="K83" s="14"/>
      <c r="L83" s="14"/>
      <c r="M83" s="14"/>
      <c r="N83" s="14"/>
    </row>
    <row r="84" spans="1:14" x14ac:dyDescent="0.25">
      <c r="B84" t="s">
        <v>26</v>
      </c>
      <c r="I84" s="14">
        <f t="shared" si="4"/>
        <v>0</v>
      </c>
      <c r="J84" s="14"/>
      <c r="K84" s="14"/>
      <c r="L84" s="14"/>
      <c r="M84" s="14"/>
      <c r="N84" s="14"/>
    </row>
    <row r="86" spans="1:14" ht="15.75" thickBot="1" x14ac:dyDescent="0.3">
      <c r="A86" s="13" t="s">
        <v>27</v>
      </c>
      <c r="B86" s="9"/>
      <c r="C86" s="9"/>
      <c r="D86" s="9"/>
      <c r="E86" s="9"/>
      <c r="F86" s="9"/>
      <c r="G86" s="9"/>
      <c r="H86" s="9"/>
      <c r="I86" s="15">
        <f>SUM(I80:I85)</f>
        <v>0</v>
      </c>
      <c r="J86" s="15">
        <f>SUM(J80:J85)</f>
        <v>0</v>
      </c>
      <c r="K86" s="15">
        <f t="shared" ref="K86:N86" si="5">SUM(K80:K85)</f>
        <v>0</v>
      </c>
      <c r="L86" s="15">
        <f t="shared" si="5"/>
        <v>0</v>
      </c>
      <c r="M86" s="15">
        <f t="shared" si="5"/>
        <v>0</v>
      </c>
      <c r="N86" s="15">
        <f t="shared" si="5"/>
        <v>0</v>
      </c>
    </row>
    <row r="87" spans="1:14" ht="15.75" thickTop="1" x14ac:dyDescent="0.25">
      <c r="I87" s="14"/>
      <c r="J87" s="14"/>
      <c r="K87" s="14"/>
      <c r="L87" s="14"/>
      <c r="M87" s="14"/>
      <c r="N87" s="14"/>
    </row>
    <row r="88" spans="1:14" ht="15.75" thickBot="1" x14ac:dyDescent="0.3">
      <c r="A88" s="13" t="s">
        <v>28</v>
      </c>
      <c r="B88" s="9"/>
      <c r="C88" s="9"/>
      <c r="D88" s="9"/>
      <c r="E88" s="9"/>
      <c r="F88" s="9"/>
      <c r="G88" s="9"/>
      <c r="H88" s="9"/>
      <c r="I88" s="15">
        <f>+I86+I77</f>
        <v>80</v>
      </c>
      <c r="J88" s="15">
        <f t="shared" ref="J88:N88" si="6">+J86+J77</f>
        <v>40</v>
      </c>
      <c r="K88" s="15">
        <f t="shared" si="6"/>
        <v>40</v>
      </c>
      <c r="L88" s="15">
        <f t="shared" si="6"/>
        <v>0</v>
      </c>
      <c r="M88" s="15">
        <f t="shared" si="6"/>
        <v>0</v>
      </c>
      <c r="N88" s="15">
        <f t="shared" si="6"/>
        <v>0</v>
      </c>
    </row>
    <row r="89" spans="1:14" ht="15.75" thickTop="1" x14ac:dyDescent="0.25"/>
    <row r="91" spans="1:14" ht="15.75" thickBot="1" x14ac:dyDescent="0.3">
      <c r="A91" s="13" t="s">
        <v>29</v>
      </c>
      <c r="B91" s="9"/>
      <c r="C91" s="9"/>
      <c r="D91" s="9"/>
      <c r="E91" s="9"/>
      <c r="F91" s="9"/>
      <c r="G91" s="9"/>
      <c r="H91" s="9"/>
      <c r="I91" s="15"/>
      <c r="J91" s="15">
        <v>40</v>
      </c>
      <c r="K91" s="15">
        <v>40</v>
      </c>
      <c r="L91" s="15">
        <v>40</v>
      </c>
      <c r="M91" s="15">
        <v>4</v>
      </c>
      <c r="N91" s="15">
        <v>0</v>
      </c>
    </row>
    <row r="92" spans="1:14" ht="16.5" thickTop="1" thickBot="1" x14ac:dyDescent="0.3">
      <c r="A92" s="13" t="s">
        <v>30</v>
      </c>
      <c r="B92" s="9"/>
      <c r="C92" s="9"/>
      <c r="D92" s="9"/>
      <c r="E92" s="9"/>
      <c r="F92" s="9"/>
      <c r="G92" s="9"/>
      <c r="H92" s="9"/>
      <c r="I92" s="15"/>
      <c r="J92" s="15">
        <f>+J91-J88</f>
        <v>0</v>
      </c>
      <c r="K92" s="15">
        <f t="shared" ref="K92:M92" si="7">+K91-K88</f>
        <v>0</v>
      </c>
      <c r="L92" s="15">
        <f t="shared" si="7"/>
        <v>40</v>
      </c>
      <c r="M92" s="15">
        <f t="shared" si="7"/>
        <v>4</v>
      </c>
      <c r="N92" s="15"/>
    </row>
    <row r="93" spans="1:14" ht="15.75" thickTop="1" x14ac:dyDescent="0.25"/>
  </sheetData>
  <protectedRanges>
    <protectedRange sqref="A8:XFD8 E10:F45 G9:I45 J9:K40 J41:J45 J46:K52 A80:XFD85 A9:A76 L9:XFD76 J76 J53:J65 B11:C76 E46:I76" name="Range1"/>
    <protectedRange sqref="B9:C9" name="Range1_1"/>
    <protectedRange sqref="D9:D76" name="Range1_2"/>
    <protectedRange sqref="E9:F9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H9:H76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topLeftCell="A6" workbookViewId="0">
      <selection activeCell="B21" sqref="B2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40</v>
      </c>
      <c r="C2" s="23" t="s">
        <v>45</v>
      </c>
    </row>
    <row r="3" spans="2:3" x14ac:dyDescent="0.25">
      <c r="B3" s="20" t="s">
        <v>41</v>
      </c>
      <c r="C3" s="21" t="s">
        <v>46</v>
      </c>
    </row>
    <row r="4" spans="2:3" x14ac:dyDescent="0.25">
      <c r="B4" s="20" t="s">
        <v>47</v>
      </c>
      <c r="C4" s="21" t="s">
        <v>48</v>
      </c>
    </row>
    <row r="5" spans="2:3" x14ac:dyDescent="0.25">
      <c r="B5" s="20" t="s">
        <v>49</v>
      </c>
      <c r="C5" s="21" t="s">
        <v>50</v>
      </c>
    </row>
    <row r="6" spans="2:3" x14ac:dyDescent="0.25">
      <c r="B6" s="20" t="s">
        <v>42</v>
      </c>
      <c r="C6" s="21" t="s">
        <v>51</v>
      </c>
    </row>
    <row r="7" spans="2:3" x14ac:dyDescent="0.25">
      <c r="B7" s="20" t="s">
        <v>52</v>
      </c>
      <c r="C7" s="21" t="s">
        <v>53</v>
      </c>
    </row>
    <row r="8" spans="2:3" x14ac:dyDescent="0.25">
      <c r="B8" s="20" t="s">
        <v>43</v>
      </c>
      <c r="C8" s="21" t="s">
        <v>54</v>
      </c>
    </row>
    <row r="9" spans="2:3" x14ac:dyDescent="0.25">
      <c r="B9" s="20" t="s">
        <v>44</v>
      </c>
      <c r="C9" s="21" t="s">
        <v>55</v>
      </c>
    </row>
    <row r="10" spans="2:3" x14ac:dyDescent="0.25">
      <c r="B10" s="26" t="s">
        <v>73</v>
      </c>
      <c r="C10" s="21" t="s">
        <v>74</v>
      </c>
    </row>
    <row r="11" spans="2:3" x14ac:dyDescent="0.25">
      <c r="B11" s="20" t="s">
        <v>56</v>
      </c>
      <c r="C11" s="21" t="s">
        <v>57</v>
      </c>
    </row>
    <row r="12" spans="2:3" x14ac:dyDescent="0.25">
      <c r="B12" s="1"/>
    </row>
    <row r="15" spans="2:3" ht="16.5" x14ac:dyDescent="0.25">
      <c r="B15" s="23" t="s">
        <v>58</v>
      </c>
      <c r="C15" s="23" t="s">
        <v>45</v>
      </c>
    </row>
    <row r="16" spans="2:3" x14ac:dyDescent="0.25">
      <c r="B16" s="22" t="s">
        <v>31</v>
      </c>
      <c r="C16" s="21" t="s">
        <v>59</v>
      </c>
    </row>
    <row r="17" spans="2:3" x14ac:dyDescent="0.25">
      <c r="B17" s="22" t="s">
        <v>60</v>
      </c>
      <c r="C17" s="21" t="s">
        <v>61</v>
      </c>
    </row>
    <row r="18" spans="2:3" x14ac:dyDescent="0.25">
      <c r="B18" s="22" t="s">
        <v>39</v>
      </c>
      <c r="C18" s="21" t="s">
        <v>62</v>
      </c>
    </row>
    <row r="19" spans="2:3" x14ac:dyDescent="0.25">
      <c r="B19" s="22" t="s">
        <v>19</v>
      </c>
      <c r="C19" s="21" t="s">
        <v>63</v>
      </c>
    </row>
    <row r="20" spans="2:3" x14ac:dyDescent="0.25">
      <c r="B20" s="22" t="s">
        <v>32</v>
      </c>
      <c r="C20" s="21" t="s">
        <v>64</v>
      </c>
    </row>
    <row r="21" spans="2:3" x14ac:dyDescent="0.25">
      <c r="B21" s="22" t="s">
        <v>33</v>
      </c>
      <c r="C21" s="21" t="s">
        <v>65</v>
      </c>
    </row>
    <row r="22" spans="2:3" x14ac:dyDescent="0.25">
      <c r="B22" s="22" t="s">
        <v>66</v>
      </c>
      <c r="C22" s="21" t="s">
        <v>67</v>
      </c>
    </row>
    <row r="23" spans="2:3" x14ac:dyDescent="0.25">
      <c r="B23" s="22" t="s">
        <v>38</v>
      </c>
      <c r="C23" s="21" t="s">
        <v>68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0" sqref="A10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34</v>
      </c>
    </row>
    <row r="2" spans="1:1" s="17" customFormat="1" ht="15.75" x14ac:dyDescent="0.25">
      <c r="A2" s="18"/>
    </row>
    <row r="3" spans="1:1" s="17" customFormat="1" ht="15.75" x14ac:dyDescent="0.25">
      <c r="A3" s="16" t="s">
        <v>71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35</v>
      </c>
    </row>
    <row r="8" spans="1:1" ht="15.75" x14ac:dyDescent="0.25">
      <c r="A8" s="16" t="s">
        <v>72</v>
      </c>
    </row>
    <row r="9" spans="1:1" ht="15.75" x14ac:dyDescent="0.25">
      <c r="A9" s="16" t="s">
        <v>70</v>
      </c>
    </row>
    <row r="10" spans="1:1" ht="15.75" x14ac:dyDescent="0.25">
      <c r="A10" s="16" t="s">
        <v>36</v>
      </c>
    </row>
    <row r="11" spans="1:1" ht="15.75" x14ac:dyDescent="0.25">
      <c r="A11" s="16" t="s">
        <v>37</v>
      </c>
    </row>
    <row r="12" spans="1:1" ht="15.75" x14ac:dyDescent="0.25">
      <c r="A12" s="16" t="s">
        <v>69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Anantkumar Suthar</cp:lastModifiedBy>
  <cp:revision/>
  <dcterms:created xsi:type="dcterms:W3CDTF">2015-06-05T18:17:20Z</dcterms:created>
  <dcterms:modified xsi:type="dcterms:W3CDTF">2026-05-01T16:32:39Z</dcterms:modified>
  <cp:category/>
  <cp:contentStatus/>
</cp:coreProperties>
</file>