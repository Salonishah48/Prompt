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Firoz Shaikh\"/>
    </mc:Choice>
  </mc:AlternateContent>
  <xr:revisionPtr revIDLastSave="0" documentId="13_ncr:1_{A5318744-C347-4FE3-B062-5B7EF1CA3F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10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K39" i="1"/>
  <c r="I44" i="1"/>
  <c r="J39" i="1"/>
  <c r="I33" i="1"/>
  <c r="I34" i="1"/>
  <c r="I35" i="1"/>
  <c r="I36" i="1"/>
  <c r="I37" i="1"/>
  <c r="N39" i="1"/>
  <c r="N30" i="1"/>
  <c r="I39" i="1" l="1"/>
  <c r="I30" i="1"/>
  <c r="J30" i="1"/>
  <c r="J41" i="1" s="1"/>
  <c r="K30" i="1"/>
  <c r="N41" i="1"/>
  <c r="N45" i="1" s="1"/>
  <c r="L30" i="1"/>
  <c r="I41" i="1" l="1"/>
  <c r="J45" i="1"/>
  <c r="I45" i="1" l="1"/>
  <c r="M30" i="1"/>
  <c r="M39" i="1"/>
  <c r="L39" i="1"/>
  <c r="L41" i="1" s="1"/>
  <c r="K6" i="1"/>
  <c r="L6" i="1" s="1"/>
  <c r="M6" i="1" s="1"/>
  <c r="M41" i="1" l="1"/>
  <c r="M45" i="1" s="1"/>
  <c r="K41" i="1"/>
  <c r="K45" i="1" s="1"/>
  <c r="L45" i="1"/>
</calcChain>
</file>

<file path=xl/sharedStrings.xml><?xml version="1.0" encoding="utf-8"?>
<sst xmlns="http://schemas.openxmlformats.org/spreadsheetml/2006/main" count="166" uniqueCount="108">
  <si>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</si>
  <si>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</si>
  <si>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</si>
  <si>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</si>
  <si>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</si>
  <si>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</si>
  <si>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</si>
  <si>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</si>
  <si>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Work Item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</si>
  <si>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</si>
  <si>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</si>
  <si>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</si>
  <si>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</si>
  <si>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</si>
  <si>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</si>
  <si>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</si>
  <si>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</si>
  <si>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</si>
  <si>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</si>
  <si>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Admin</t>
  </si>
  <si>
    <t>Bookkeeping Management</t>
  </si>
  <si>
    <t>Total of Billable hours</t>
  </si>
  <si>
    <t>Non Billable hours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</si>
  <si>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</si>
  <si>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</si>
  <si>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</si>
  <si>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</si>
  <si>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</si>
  <si>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</si>
  <si>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</si>
  <si>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</si>
  <si>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Purpose (Suggested Comment)</t>
  </si>
  <si>
    <t>1099 Management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</si>
  <si>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</si>
  <si>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</si>
  <si>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</si>
  <si>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</si>
  <si>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</si>
  <si>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</si>
  <si>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</si>
  <si>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</si>
  <si>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Management</t>
  </si>
  <si>
    <t>Payroll processing, working, posting, and reconciliation.</t>
  </si>
  <si>
    <t>Sales Tax Management</t>
  </si>
  <si>
    <t>Sales tax calculation and filing.</t>
  </si>
  <si>
    <t>Year-End / 13th Month Process Management</t>
  </si>
  <si>
    <t>Year-end finalization work, financial statement printing, and tax-to-book adjustments.</t>
  </si>
  <si>
    <t>Client Meetings and Communication</t>
  </si>
  <si>
    <t>Client meetings and communicaiton related work</t>
  </si>
  <si>
    <t>Account Status</t>
  </si>
  <si>
    <t>Not Started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</si>
  <si>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</si>
  <si>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</si>
  <si>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</si>
  <si>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Ready to Work</t>
  </si>
  <si>
    <t>All necessary documents and information have been received; the task is ready to begin.</t>
  </si>
  <si>
    <t>In Preparation</t>
  </si>
  <si>
    <t>Work is currently in progress.</t>
  </si>
  <si>
    <t>In Review</t>
  </si>
  <si>
    <t>Bookkeeping/Preparation work is completed and is under review.</t>
  </si>
  <si>
    <t>Completed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</si>
  <si>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</si>
  <si>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</si>
  <si>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</si>
  <si>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On Hold</t>
  </si>
  <si>
    <t>Work is put on hold as per client instruction until approval is received to restart.</t>
  </si>
  <si>
    <t>Points to be considered while updating the tracker</t>
  </si>
  <si>
    <t>Please update below Information as per ZOHO only.</t>
  </si>
  <si>
    <t>Always use Sr. no. when inputting data (If there is no data, don't write sr. no).</t>
  </si>
  <si>
    <t>Weeks should start from column "J6" - Don't change sequence (K6,L6,M6 will update automatically).</t>
  </si>
  <si>
    <t>Work Item and Status (Yellow Highlighted) should be selected from drop down , do let us know if you need to add anything </t>
  </si>
  <si>
    <t>Don't leave any row blank in between (if require you can add a row in between)</t>
  </si>
  <si>
    <t>Don’t add or delete any column</t>
  </si>
  <si>
    <t>Please enter Client name and Project strictly as mention on ZOHO</t>
  </si>
  <si>
    <t>Priyanka Panchal</t>
  </si>
  <si>
    <t>Staff</t>
  </si>
  <si>
    <t>Firoz Shaikh</t>
  </si>
  <si>
    <t>The Levinson Group</t>
  </si>
  <si>
    <t>LearnServe Intl</t>
  </si>
  <si>
    <t>CT Strategies</t>
  </si>
  <si>
    <t>Holy Trinity Georgetown Pike(HTC)</t>
  </si>
  <si>
    <t>Wisconsin Project</t>
  </si>
  <si>
    <t>St. John's Church, Lafayette Square</t>
  </si>
  <si>
    <t>Team Levine</t>
  </si>
  <si>
    <t>Big Bad Woof (BB Woof)</t>
  </si>
  <si>
    <t>Intellus Solutions LLC</t>
  </si>
  <si>
    <t>India Home Inc</t>
  </si>
  <si>
    <t>SPAA - Schizophrenia and Psychosis Action Alliance </t>
  </si>
  <si>
    <t>SPAN - Schizophrenia Policy Action Network</t>
  </si>
  <si>
    <t>Admin - General</t>
  </si>
  <si>
    <t>Bay Business Group LLC</t>
  </si>
  <si>
    <t>SPRLINE CONSULTANCY PRIVATE LIMITED</t>
  </si>
  <si>
    <t>Prints and Signs International LLC</t>
  </si>
  <si>
    <t>Palma Financial</t>
  </si>
  <si>
    <t>Veer Corporation INC</t>
  </si>
  <si>
    <t>Clark &amp; Sons Inc.</t>
  </si>
  <si>
    <t>Matthew Blumberg CPA PLLC</t>
  </si>
  <si>
    <t>Kanak Naturals, LLC</t>
  </si>
  <si>
    <t>Kanak Export</t>
  </si>
  <si>
    <t>TSC Enterprise, LLC</t>
  </si>
  <si>
    <t>Kanak Pakway</t>
  </si>
  <si>
    <t>Maryland Wellness and Recovery LLC(MDWAR)</t>
  </si>
  <si>
    <t>Brayman Technical Services LLC</t>
  </si>
  <si>
    <t>Future</t>
  </si>
  <si>
    <t>Uphill Athlete</t>
  </si>
  <si>
    <t>Lapis Americas LLC</t>
  </si>
  <si>
    <t>Freedman Consulting LLC</t>
  </si>
  <si>
    <t xml:space="preserve">IPL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</si>
</sst>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D5937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/>
    <xf numFmtId="43" fontId="1" fillId="0" borderId="0" xfId="1" applyFont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5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1" fillId="6" borderId="3" xfId="0" applyFont="1" applyFill="1" applyBorder="1" applyAlignment="1">
      <alignment horizontal="left" vertical="center" wrapText="1"/>
    </xf>
    <xf numFmtId="0" fontId="0" fillId="0" borderId="3" xfId="0" applyBorder="1"/>
    <xf numFmtId="0" fontId="6" fillId="5" borderId="2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0" fillId="4" borderId="0" xfId="0" applyFill="1"/>
    <xf numFmtId="0" fontId="0" fillId="0" borderId="0" xfId="0" applyAlignment="1">
      <alignment horizontal="right"/>
    </xf>
    <xf numFmtId="14" fontId="0" fillId="7" borderId="0" xfId="0" applyNumberFormat="1" applyFill="1"/>
    <xf numFmtId="14" fontId="0" fillId="0" borderId="0" xfId="0" applyNumberFormat="1"/>
    <xf numFmtId="0" fontId="0" fillId="5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2" borderId="0" xfId="0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zoomScale="85" zoomScaleNormal="85" workbookViewId="0">
      <pane xSplit="2" ySplit="7" topLeftCell="E8" activePane="bottomRight" state="frozen"/>
      <selection pane="topRight" activeCell="C1" sqref="C1"/>
      <selection pane="bottomLeft" activeCell="A7" sqref="A7"/>
      <selection pane="bottomRight"/>
    </sheetView>
  </sheetViews>
  <sheetFormatPr defaultRowHeight="15" x14ac:dyDescent="0.25"/>
  <cols>
    <col min="1" max="1" width="28.85546875" bestFit="1" customWidth="1"/>
    <col min="2" max="2" width="21.85546875" bestFit="1" customWidth="1"/>
    <col min="3" max="3" width="32.42578125" style="15" bestFit="1" customWidth="1"/>
    <col min="4" max="4" width="41" bestFit="1" customWidth="1"/>
    <col min="5" max="6" width="10.7109375" bestFit="1" customWidth="1"/>
    <col min="7" max="7" width="11.42578125" bestFit="1" customWidth="1"/>
    <col min="8" max="8" width="32.28515625" bestFit="1" customWidth="1"/>
    <col min="9" max="9" width="20.140625" bestFit="1" customWidth="1"/>
    <col min="10" max="12" width="10.7109375" bestFit="1" customWidth="1"/>
    <col min="13" max="13" width="10.7109375" customWidth="1"/>
  </cols>
  <sheetData>
    <row r="1" spans="1:14" x14ac:dyDescent="0.25">
      <c r="A1" s="1" t="s">
        <v>0</v>
      </c>
      <c r="H1" s="23"/>
    </row>
    <row r="2" spans="1:14" x14ac:dyDescent="0.25">
      <c r="A2" s="1" t="s">
        <v>1</v>
      </c>
      <c r="B2" s="5" t="s">
        <v>74</v>
      </c>
      <c r="C2" s="14"/>
      <c r="H2" s="1"/>
      <c r="I2" s="1"/>
      <c r="J2" s="6"/>
      <c r="K2" s="6"/>
      <c r="L2" s="6"/>
      <c r="M2" s="6"/>
    </row>
    <row r="3" spans="1:14" x14ac:dyDescent="0.25">
      <c r="A3" s="1" t="s">
        <v>2</v>
      </c>
      <c r="B3" s="5" t="s">
        <v>75</v>
      </c>
      <c r="C3" s="14"/>
      <c r="H3" s="1"/>
      <c r="I3" s="1"/>
      <c r="J3" s="6"/>
      <c r="K3" s="6"/>
      <c r="L3" s="6"/>
      <c r="M3" s="6"/>
    </row>
    <row r="4" spans="1:14" x14ac:dyDescent="0.25">
      <c r="A4" s="1" t="s">
        <v>3</v>
      </c>
      <c r="B4" s="5" t="s">
        <v>76</v>
      </c>
      <c r="C4" s="14"/>
      <c r="H4" s="1"/>
      <c r="I4" s="1"/>
      <c r="J4" s="6"/>
      <c r="K4" s="6"/>
      <c r="L4" s="6"/>
      <c r="M4" s="6"/>
    </row>
    <row r="5" spans="1:14" x14ac:dyDescent="0.25">
      <c r="A5" s="1"/>
      <c r="B5" s="5"/>
      <c r="C5" s="14"/>
    </row>
    <row r="6" spans="1:14" x14ac:dyDescent="0.25">
      <c r="I6" s="24" t="s">
        <v>4</v>
      </c>
      <c r="J6" s="25">
        <v>46146</v>
      </c>
      <c r="K6" s="25">
        <f>J6+7</f>
        <v>46153</v>
      </c>
      <c r="L6" s="26">
        <f>K6+7</f>
        <v>46160</v>
      </c>
      <c r="M6" s="26">
        <f>L6+7</f>
        <v>46167</v>
      </c>
      <c r="N6" t="s">
        <v>103</v>
      </c>
    </row>
    <row r="7" spans="1:14" ht="30" x14ac:dyDescent="0.25">
      <c r="A7" s="2" t="s">
        <v>5</v>
      </c>
      <c r="B7" s="2" t="s">
        <v>6</v>
      </c>
      <c r="C7" s="2" t="s">
        <v>7</v>
      </c>
      <c r="D7" s="12" t="s">
        <v>8</v>
      </c>
      <c r="E7" s="2" t="s">
        <v>9</v>
      </c>
      <c r="F7" s="2" t="s">
        <v>10</v>
      </c>
      <c r="G7" s="2" t="s">
        <v>11</v>
      </c>
      <c r="H7" s="1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30" t="s">
        <v>103</v>
      </c>
    </row>
    <row r="8" spans="1:14" x14ac:dyDescent="0.25">
      <c r="A8" s="4" t="s">
        <v>18</v>
      </c>
      <c r="B8" s="3"/>
      <c r="C8" s="3"/>
      <c r="D8" s="12"/>
      <c r="E8" s="3"/>
      <c r="F8" s="3"/>
      <c r="G8" s="3"/>
      <c r="H8" s="12"/>
      <c r="I8" s="3"/>
      <c r="J8" s="3"/>
      <c r="K8" s="3"/>
      <c r="L8" s="3"/>
      <c r="M8" s="3"/>
    </row>
    <row r="9" spans="1:14" x14ac:dyDescent="0.25">
      <c r="A9">
        <v>1</v>
      </c>
      <c r="B9" t="s">
        <v>90</v>
      </c>
      <c r="C9" s="15" t="s">
        <v>77</v>
      </c>
      <c r="D9" s="27" t="s">
        <v>20</v>
      </c>
      <c r="E9" s="26">
        <v>46113</v>
      </c>
      <c r="F9" s="26">
        <v>46127</v>
      </c>
      <c r="G9" s="26"/>
      <c r="H9" s="27" t="s">
        <v>54</v>
      </c>
      <c r="I9" s="8">
        <f t="shared" ref="I9:I26" si="0">SUM(J9:M9)</f>
        <v>6.5</v>
      </c>
      <c r="J9" s="8">
        <v>3</v>
      </c>
      <c r="K9" s="8">
        <v>2</v>
      </c>
      <c r="L9" s="8">
        <v>1.5</v>
      </c>
      <c r="M9" s="8"/>
      <c r="N9" s="8"/>
    </row>
    <row r="10" spans="1:14" x14ac:dyDescent="0.25">
      <c r="A10">
        <f>A9+1</f>
        <v>2</v>
      </c>
      <c r="B10" t="s">
        <v>90</v>
      </c>
      <c r="C10" s="15" t="s">
        <v>78</v>
      </c>
      <c r="D10" s="27" t="s">
        <v>20</v>
      </c>
      <c r="E10" s="26">
        <v>46113</v>
      </c>
      <c r="F10" s="26">
        <v>46127</v>
      </c>
      <c r="G10" s="26"/>
      <c r="H10" s="27" t="s">
        <v>54</v>
      </c>
      <c r="I10" s="8">
        <f t="shared" si="0"/>
        <v>9.5</v>
      </c>
      <c r="J10" s="8">
        <v>4</v>
      </c>
      <c r="K10" s="8">
        <v>3</v>
      </c>
      <c r="L10" s="8">
        <v>2.5</v>
      </c>
      <c r="M10" s="8"/>
      <c r="N10" s="8"/>
    </row>
    <row r="11" spans="1:14" x14ac:dyDescent="0.25">
      <c r="A11">
        <f t="shared" ref="A11:A26" si="1">A10+1</f>
        <v>3</v>
      </c>
      <c r="B11" t="s">
        <v>90</v>
      </c>
      <c r="C11" s="15" t="s">
        <v>79</v>
      </c>
      <c r="D11" s="27" t="s">
        <v>20</v>
      </c>
      <c r="E11" s="26">
        <v>46113</v>
      </c>
      <c r="F11" s="26">
        <v>46127</v>
      </c>
      <c r="G11" s="26"/>
      <c r="H11" s="27" t="s">
        <v>54</v>
      </c>
      <c r="I11" s="8">
        <f t="shared" si="0"/>
        <v>9.5</v>
      </c>
      <c r="J11" s="8">
        <v>4.5</v>
      </c>
      <c r="K11" s="8">
        <v>3</v>
      </c>
      <c r="L11" s="8">
        <v>2</v>
      </c>
      <c r="M11" s="8"/>
      <c r="N11" s="8"/>
    </row>
    <row r="12" spans="1:14" x14ac:dyDescent="0.25">
      <c r="A12">
        <f t="shared" si="1"/>
        <v>4</v>
      </c>
      <c r="B12" t="s">
        <v>90</v>
      </c>
      <c r="C12" s="15" t="s">
        <v>80</v>
      </c>
      <c r="D12" s="27" t="s">
        <v>20</v>
      </c>
      <c r="E12" s="26">
        <v>46113</v>
      </c>
      <c r="F12" s="26">
        <v>46127</v>
      </c>
      <c r="G12" s="26"/>
      <c r="H12" s="27" t="s">
        <v>54</v>
      </c>
      <c r="I12" s="8">
        <f t="shared" si="0"/>
        <v>7.5</v>
      </c>
      <c r="J12" s="8">
        <v>4</v>
      </c>
      <c r="K12" s="8">
        <v>2</v>
      </c>
      <c r="L12" s="8">
        <v>1.5</v>
      </c>
      <c r="M12" s="8"/>
      <c r="N12" s="8"/>
    </row>
    <row r="13" spans="1:14" x14ac:dyDescent="0.25">
      <c r="A13">
        <f t="shared" si="1"/>
        <v>5</v>
      </c>
      <c r="B13" t="s">
        <v>90</v>
      </c>
      <c r="C13" s="15" t="s">
        <v>81</v>
      </c>
      <c r="D13" s="27" t="s">
        <v>20</v>
      </c>
      <c r="E13" s="26">
        <v>46113</v>
      </c>
      <c r="F13" s="26">
        <v>46127</v>
      </c>
      <c r="G13" s="26"/>
      <c r="H13" s="27" t="s">
        <v>54</v>
      </c>
      <c r="I13" s="8">
        <f t="shared" si="0"/>
        <v>7</v>
      </c>
      <c r="J13" s="8">
        <v>3</v>
      </c>
      <c r="K13" s="8">
        <v>3</v>
      </c>
      <c r="L13" s="8">
        <v>1</v>
      </c>
      <c r="M13" s="8"/>
      <c r="N13" s="8"/>
    </row>
    <row r="14" spans="1:14" x14ac:dyDescent="0.25">
      <c r="A14">
        <f t="shared" si="1"/>
        <v>6</v>
      </c>
      <c r="B14" t="s">
        <v>90</v>
      </c>
      <c r="C14" s="15" t="s">
        <v>82</v>
      </c>
      <c r="D14" s="27" t="s">
        <v>20</v>
      </c>
      <c r="E14" s="26">
        <v>46113</v>
      </c>
      <c r="F14" s="26">
        <v>46127</v>
      </c>
      <c r="G14" s="26"/>
      <c r="H14" s="27" t="s">
        <v>52</v>
      </c>
      <c r="I14" s="8">
        <f t="shared" si="0"/>
        <v>4</v>
      </c>
      <c r="J14" s="8">
        <v>0</v>
      </c>
      <c r="K14" s="8">
        <v>3</v>
      </c>
      <c r="L14" s="8">
        <v>1</v>
      </c>
      <c r="M14" s="8"/>
      <c r="N14" s="8"/>
    </row>
    <row r="15" spans="1:14" x14ac:dyDescent="0.25">
      <c r="A15">
        <f t="shared" si="1"/>
        <v>7</v>
      </c>
      <c r="B15" t="s">
        <v>90</v>
      </c>
      <c r="C15" s="15" t="s">
        <v>85</v>
      </c>
      <c r="D15" s="27" t="s">
        <v>20</v>
      </c>
      <c r="E15" s="26">
        <v>46113</v>
      </c>
      <c r="F15" s="26">
        <v>46127</v>
      </c>
      <c r="G15" s="26"/>
      <c r="H15" s="27" t="s">
        <v>54</v>
      </c>
      <c r="I15" s="8">
        <f t="shared" si="0"/>
        <v>3.5</v>
      </c>
      <c r="J15" s="8">
        <v>2</v>
      </c>
      <c r="K15" s="8">
        <v>1</v>
      </c>
      <c r="L15" s="8">
        <v>0.5</v>
      </c>
      <c r="M15" s="8"/>
      <c r="N15" s="8"/>
    </row>
    <row r="16" spans="1:14" x14ac:dyDescent="0.25">
      <c r="A16">
        <f t="shared" si="1"/>
        <v>8</v>
      </c>
      <c r="B16" t="s">
        <v>90</v>
      </c>
      <c r="C16" s="15" t="s">
        <v>86</v>
      </c>
      <c r="D16" s="27" t="s">
        <v>20</v>
      </c>
      <c r="E16" s="26">
        <v>46113</v>
      </c>
      <c r="F16" s="26">
        <v>46127</v>
      </c>
      <c r="G16" s="26"/>
      <c r="H16" s="27" t="s">
        <v>54</v>
      </c>
      <c r="I16" s="8">
        <f t="shared" si="0"/>
        <v>11.5</v>
      </c>
      <c r="J16" s="8">
        <v>2.5</v>
      </c>
      <c r="K16" s="8">
        <v>4</v>
      </c>
      <c r="L16" s="8">
        <v>5</v>
      </c>
      <c r="M16" s="8"/>
      <c r="N16" s="8"/>
    </row>
    <row r="17" spans="1:14" ht="30" x14ac:dyDescent="0.25">
      <c r="A17">
        <f t="shared" si="1"/>
        <v>9</v>
      </c>
      <c r="B17" t="s">
        <v>90</v>
      </c>
      <c r="C17" s="15" t="s">
        <v>101</v>
      </c>
      <c r="D17" s="27" t="s">
        <v>20</v>
      </c>
      <c r="E17" s="26">
        <v>46113</v>
      </c>
      <c r="F17" s="26">
        <v>46127</v>
      </c>
      <c r="G17" s="26"/>
      <c r="H17" s="27" t="s">
        <v>54</v>
      </c>
      <c r="I17" s="8">
        <f t="shared" si="0"/>
        <v>9.5</v>
      </c>
      <c r="J17" s="8">
        <v>3</v>
      </c>
      <c r="K17" s="8">
        <v>3</v>
      </c>
      <c r="L17" s="8">
        <v>3.5</v>
      </c>
      <c r="M17" s="8"/>
      <c r="N17" s="8"/>
    </row>
    <row r="18" spans="1:14" ht="30" x14ac:dyDescent="0.25">
      <c r="A18">
        <f t="shared" si="1"/>
        <v>10</v>
      </c>
      <c r="B18" t="s">
        <v>90</v>
      </c>
      <c r="C18" s="15" t="s">
        <v>87</v>
      </c>
      <c r="D18" s="27" t="s">
        <v>20</v>
      </c>
      <c r="E18" s="26">
        <v>46113</v>
      </c>
      <c r="F18" s="26">
        <v>46127</v>
      </c>
      <c r="G18" s="26"/>
      <c r="H18" s="27" t="s">
        <v>54</v>
      </c>
      <c r="I18" s="8">
        <f t="shared" si="0"/>
        <v>9</v>
      </c>
      <c r="J18" s="8">
        <v>2</v>
      </c>
      <c r="K18" s="8">
        <v>4</v>
      </c>
      <c r="L18" s="8">
        <v>3</v>
      </c>
      <c r="M18" s="8"/>
      <c r="N18" s="8"/>
    </row>
    <row r="19" spans="1:14" ht="30" x14ac:dyDescent="0.25">
      <c r="A19">
        <f t="shared" si="1"/>
        <v>11</v>
      </c>
      <c r="B19" t="s">
        <v>90</v>
      </c>
      <c r="C19" s="15" t="s">
        <v>88</v>
      </c>
      <c r="D19" s="27" t="s">
        <v>20</v>
      </c>
      <c r="E19" s="26">
        <v>46113</v>
      </c>
      <c r="F19" s="26">
        <v>46127</v>
      </c>
      <c r="G19" s="26"/>
      <c r="H19" s="27" t="s">
        <v>54</v>
      </c>
      <c r="I19" s="8">
        <f t="shared" si="0"/>
        <v>5</v>
      </c>
      <c r="J19" s="8">
        <v>1</v>
      </c>
      <c r="K19" s="8">
        <v>2</v>
      </c>
      <c r="L19" s="8">
        <v>2</v>
      </c>
      <c r="M19" s="8"/>
      <c r="N19" s="8"/>
    </row>
    <row r="20" spans="1:14" x14ac:dyDescent="0.25">
      <c r="A20">
        <f t="shared" si="1"/>
        <v>12</v>
      </c>
      <c r="B20" t="s">
        <v>90</v>
      </c>
      <c r="C20" s="15" t="s">
        <v>84</v>
      </c>
      <c r="D20" s="27" t="s">
        <v>34</v>
      </c>
      <c r="E20" s="26">
        <v>46113</v>
      </c>
      <c r="F20" s="26">
        <v>46132</v>
      </c>
      <c r="G20" s="26"/>
      <c r="H20" s="27" t="s">
        <v>54</v>
      </c>
      <c r="I20" s="8">
        <f t="shared" si="0"/>
        <v>4</v>
      </c>
      <c r="J20" s="8">
        <v>0</v>
      </c>
      <c r="K20" s="8">
        <v>0</v>
      </c>
      <c r="L20" s="8">
        <v>4</v>
      </c>
      <c r="M20" s="8"/>
      <c r="N20" s="8"/>
    </row>
    <row r="21" spans="1:14" x14ac:dyDescent="0.25">
      <c r="A21">
        <f t="shared" si="1"/>
        <v>13</v>
      </c>
      <c r="B21" t="s">
        <v>90</v>
      </c>
      <c r="C21" s="15" t="s">
        <v>83</v>
      </c>
      <c r="D21" s="27" t="s">
        <v>20</v>
      </c>
      <c r="E21" s="26">
        <v>46113</v>
      </c>
      <c r="F21" s="26">
        <v>46132</v>
      </c>
      <c r="G21" s="26"/>
      <c r="H21" s="27" t="s">
        <v>52</v>
      </c>
      <c r="I21" s="8">
        <f t="shared" si="0"/>
        <v>3</v>
      </c>
      <c r="J21" s="8">
        <v>0</v>
      </c>
      <c r="K21" s="8">
        <v>0</v>
      </c>
      <c r="L21" s="8">
        <v>3</v>
      </c>
      <c r="M21" s="8"/>
      <c r="N21" s="8"/>
    </row>
    <row r="22" spans="1:14" x14ac:dyDescent="0.25">
      <c r="A22">
        <f t="shared" si="1"/>
        <v>14</v>
      </c>
      <c r="B22" t="s">
        <v>90</v>
      </c>
      <c r="C22" s="15" t="s">
        <v>102</v>
      </c>
      <c r="D22" s="27" t="s">
        <v>20</v>
      </c>
      <c r="E22" s="26">
        <v>46113</v>
      </c>
      <c r="F22" s="26">
        <v>46132</v>
      </c>
      <c r="G22" s="26"/>
      <c r="H22" s="27" t="s">
        <v>52</v>
      </c>
      <c r="I22" s="8">
        <f t="shared" si="0"/>
        <v>0</v>
      </c>
      <c r="J22" s="8">
        <v>0</v>
      </c>
      <c r="K22" s="8">
        <v>0</v>
      </c>
      <c r="L22" s="8">
        <v>0</v>
      </c>
      <c r="M22" s="8"/>
      <c r="N22" s="8"/>
    </row>
    <row r="23" spans="1:14" x14ac:dyDescent="0.25">
      <c r="A23">
        <f t="shared" si="1"/>
        <v>15</v>
      </c>
      <c r="B23" t="s">
        <v>90</v>
      </c>
      <c r="C23" s="15" t="s">
        <v>104</v>
      </c>
      <c r="D23" s="27" t="s">
        <v>34</v>
      </c>
      <c r="E23" s="26">
        <v>46113</v>
      </c>
      <c r="F23" s="26">
        <v>46113</v>
      </c>
      <c r="G23" s="26"/>
      <c r="H23" s="27" t="s">
        <v>52</v>
      </c>
      <c r="I23" s="8">
        <f t="shared" si="0"/>
        <v>1</v>
      </c>
      <c r="J23" s="8">
        <v>1</v>
      </c>
      <c r="K23" s="8">
        <v>0</v>
      </c>
      <c r="L23" s="8">
        <v>0</v>
      </c>
      <c r="M23" s="8"/>
      <c r="N23" s="8"/>
    </row>
    <row r="24" spans="1:14" x14ac:dyDescent="0.25">
      <c r="A24">
        <f t="shared" si="1"/>
        <v>16</v>
      </c>
      <c r="B24" t="s">
        <v>90</v>
      </c>
      <c r="C24" s="15" t="s">
        <v>105</v>
      </c>
      <c r="D24" s="27" t="s">
        <v>20</v>
      </c>
      <c r="E24" s="26">
        <v>46113</v>
      </c>
      <c r="F24" s="26">
        <v>46115</v>
      </c>
      <c r="G24" s="26"/>
      <c r="H24" s="27" t="s">
        <v>54</v>
      </c>
      <c r="I24" s="8">
        <f t="shared" si="0"/>
        <v>1</v>
      </c>
      <c r="J24" s="8">
        <v>1</v>
      </c>
      <c r="K24" s="8">
        <v>0</v>
      </c>
      <c r="L24" s="8">
        <v>0</v>
      </c>
      <c r="M24" s="8"/>
      <c r="N24" s="8"/>
    </row>
    <row r="25" spans="1:14" x14ac:dyDescent="0.25">
      <c r="A25">
        <f t="shared" si="1"/>
        <v>17</v>
      </c>
      <c r="B25" t="s">
        <v>90</v>
      </c>
      <c r="C25" s="15" t="s">
        <v>106</v>
      </c>
      <c r="D25" s="27" t="s">
        <v>20</v>
      </c>
      <c r="E25" s="26">
        <v>46113</v>
      </c>
      <c r="F25" s="26">
        <v>46127</v>
      </c>
      <c r="G25" s="26"/>
      <c r="H25" s="27" t="s">
        <v>54</v>
      </c>
      <c r="I25" s="8">
        <f t="shared" si="0"/>
        <v>10.5</v>
      </c>
      <c r="J25" s="8">
        <v>3</v>
      </c>
      <c r="K25" s="8">
        <v>4</v>
      </c>
      <c r="L25" s="8">
        <v>3.5</v>
      </c>
      <c r="M25" s="8"/>
      <c r="N25" s="8"/>
    </row>
    <row r="26" spans="1:14" x14ac:dyDescent="0.25">
      <c r="A26">
        <f t="shared" si="1"/>
        <v>18</v>
      </c>
      <c r="B26" t="s">
        <v>90</v>
      </c>
      <c r="C26" s="15" t="s">
        <v>89</v>
      </c>
      <c r="D26" s="27" t="s">
        <v>20</v>
      </c>
      <c r="E26" s="26">
        <v>46113</v>
      </c>
      <c r="F26" s="26">
        <v>46142</v>
      </c>
      <c r="G26" s="26"/>
      <c r="H26" s="27" t="s">
        <v>56</v>
      </c>
      <c r="I26" s="8">
        <f t="shared" si="0"/>
        <v>18</v>
      </c>
      <c r="J26" s="8">
        <v>6</v>
      </c>
      <c r="K26" s="8">
        <v>6</v>
      </c>
      <c r="L26" s="8">
        <v>6</v>
      </c>
      <c r="M26" s="8"/>
      <c r="N26" s="8"/>
    </row>
    <row r="27" spans="1:14" x14ac:dyDescent="0.25">
      <c r="D27" s="27"/>
      <c r="E27" s="26"/>
      <c r="F27" s="26"/>
      <c r="H27" s="27"/>
      <c r="I27" s="8"/>
      <c r="K27" s="8"/>
      <c r="M27" s="8"/>
    </row>
    <row r="28" spans="1:14" x14ac:dyDescent="0.25">
      <c r="D28" s="27"/>
      <c r="E28" s="26"/>
      <c r="F28" s="26"/>
      <c r="H28" s="27"/>
      <c r="I28" s="8"/>
      <c r="K28" s="8"/>
      <c r="M28" s="8"/>
    </row>
    <row r="29" spans="1:14" x14ac:dyDescent="0.25">
      <c r="D29" s="27"/>
      <c r="H29" s="27"/>
    </row>
    <row r="30" spans="1:14" ht="15.75" thickBot="1" x14ac:dyDescent="0.3">
      <c r="A30" s="7" t="s">
        <v>21</v>
      </c>
      <c r="B30" s="28"/>
      <c r="C30" s="29"/>
      <c r="D30" s="28"/>
      <c r="E30" s="28"/>
      <c r="F30" s="28"/>
      <c r="G30" s="28"/>
      <c r="H30" s="28"/>
      <c r="I30" s="9">
        <f>SUM(I8:I29)</f>
        <v>120</v>
      </c>
      <c r="J30" s="9">
        <f>SUM(J8:J29)</f>
        <v>40</v>
      </c>
      <c r="K30" s="9">
        <f>SUM(K8:K29)</f>
        <v>40</v>
      </c>
      <c r="L30" s="9">
        <f t="shared" ref="L30:N30" si="2">SUM(L8:L29)</f>
        <v>40</v>
      </c>
      <c r="M30" s="9">
        <f t="shared" si="2"/>
        <v>0</v>
      </c>
      <c r="N30" s="9">
        <f t="shared" si="2"/>
        <v>0</v>
      </c>
    </row>
    <row r="31" spans="1:14" ht="15.75" thickTop="1" x14ac:dyDescent="0.25">
      <c r="I31" s="8"/>
      <c r="J31" s="8"/>
      <c r="K31" s="8"/>
      <c r="L31" s="8"/>
      <c r="M31" s="8"/>
    </row>
    <row r="32" spans="1:14" x14ac:dyDescent="0.25">
      <c r="A32" s="1" t="s">
        <v>22</v>
      </c>
      <c r="I32" s="8"/>
      <c r="J32" s="8"/>
      <c r="K32" s="8"/>
      <c r="L32" s="8"/>
      <c r="M32" s="8"/>
    </row>
    <row r="33" spans="1:14" x14ac:dyDescent="0.25">
      <c r="B33" t="s">
        <v>19</v>
      </c>
      <c r="C33" s="15" t="s">
        <v>107</v>
      </c>
      <c r="D33" s="15"/>
      <c r="E33" s="26"/>
      <c r="F33" s="26"/>
      <c r="I33" s="8">
        <f>SUM(J33:M33)</f>
        <v>0</v>
      </c>
      <c r="J33" s="8"/>
      <c r="K33" s="8"/>
      <c r="M33" s="8"/>
    </row>
    <row r="34" spans="1:14" x14ac:dyDescent="0.25">
      <c r="B34" t="s">
        <v>23</v>
      </c>
      <c r="I34" s="8">
        <f>SUM(J34:M34)</f>
        <v>0</v>
      </c>
      <c r="J34" s="8"/>
      <c r="K34" s="8"/>
      <c r="M34" s="8"/>
    </row>
    <row r="35" spans="1:14" x14ac:dyDescent="0.25">
      <c r="B35" t="s">
        <v>24</v>
      </c>
      <c r="I35" s="8">
        <f>SUM(J35:M35)</f>
        <v>0</v>
      </c>
      <c r="J35" s="8"/>
      <c r="K35" s="8"/>
      <c r="M35" s="8"/>
    </row>
    <row r="36" spans="1:14" x14ac:dyDescent="0.25">
      <c r="B36" t="s">
        <v>25</v>
      </c>
      <c r="I36" s="8">
        <f>SUM(J36:M36)</f>
        <v>0</v>
      </c>
      <c r="J36" s="8"/>
      <c r="K36" s="8"/>
      <c r="M36" s="8"/>
    </row>
    <row r="37" spans="1:14" x14ac:dyDescent="0.25">
      <c r="B37" t="s">
        <v>26</v>
      </c>
      <c r="I37" s="8">
        <f>SUM(K37:K37)</f>
        <v>0</v>
      </c>
      <c r="K37" s="8"/>
    </row>
    <row r="39" spans="1:14" ht="15.75" thickBot="1" x14ac:dyDescent="0.3">
      <c r="A39" s="7" t="s">
        <v>27</v>
      </c>
      <c r="B39" s="28"/>
      <c r="C39" s="29"/>
      <c r="D39" s="28"/>
      <c r="E39" s="28"/>
      <c r="F39" s="28"/>
      <c r="G39" s="28"/>
      <c r="H39" s="28"/>
      <c r="I39" s="9">
        <f>SUM(I33:I38)</f>
        <v>0</v>
      </c>
      <c r="J39" s="9">
        <f>SUM(J33:J38)</f>
        <v>0</v>
      </c>
      <c r="K39" s="9">
        <f>SUM(K33:K38)</f>
        <v>0</v>
      </c>
      <c r="L39" s="9">
        <f t="shared" ref="L39:N39" si="3">SUM(L33:L38)</f>
        <v>0</v>
      </c>
      <c r="M39" s="9">
        <f t="shared" si="3"/>
        <v>0</v>
      </c>
      <c r="N39" s="9">
        <f t="shared" si="3"/>
        <v>0</v>
      </c>
    </row>
    <row r="40" spans="1:14" ht="15.75" thickTop="1" x14ac:dyDescent="0.25">
      <c r="I40" s="8"/>
      <c r="J40" s="8"/>
      <c r="K40" s="8"/>
      <c r="L40" s="8"/>
      <c r="M40" s="8"/>
    </row>
    <row r="41" spans="1:14" ht="15.75" thickBot="1" x14ac:dyDescent="0.3">
      <c r="A41" s="7" t="s">
        <v>28</v>
      </c>
      <c r="B41" s="28"/>
      <c r="C41" s="29"/>
      <c r="D41" s="28"/>
      <c r="E41" s="28"/>
      <c r="F41" s="28"/>
      <c r="G41" s="28"/>
      <c r="H41" s="28"/>
      <c r="I41" s="9">
        <f>+I39+I30</f>
        <v>120</v>
      </c>
      <c r="J41" s="9">
        <f>+J39+J30</f>
        <v>40</v>
      </c>
      <c r="K41" s="9">
        <f t="shared" ref="K41:N41" si="4">+K39+K30</f>
        <v>40</v>
      </c>
      <c r="L41" s="9">
        <f t="shared" si="4"/>
        <v>40</v>
      </c>
      <c r="M41" s="9">
        <f t="shared" si="4"/>
        <v>0</v>
      </c>
      <c r="N41" s="9">
        <f t="shared" si="4"/>
        <v>0</v>
      </c>
    </row>
    <row r="42" spans="1:14" ht="15.75" thickTop="1" x14ac:dyDescent="0.25"/>
    <row r="44" spans="1:14" ht="15.75" thickBot="1" x14ac:dyDescent="0.3">
      <c r="A44" s="7" t="s">
        <v>29</v>
      </c>
      <c r="B44" s="28"/>
      <c r="C44" s="29"/>
      <c r="D44" s="28"/>
      <c r="E44" s="28"/>
      <c r="F44" s="28"/>
      <c r="G44" s="28"/>
      <c r="H44" s="28"/>
      <c r="I44" s="9">
        <f>SUM(J44:M44)</f>
        <v>120</v>
      </c>
      <c r="J44" s="9">
        <v>40</v>
      </c>
      <c r="K44" s="9">
        <v>40</v>
      </c>
      <c r="L44" s="9">
        <v>40</v>
      </c>
      <c r="M44" s="9"/>
      <c r="N44" s="9">
        <v>0</v>
      </c>
    </row>
    <row r="45" spans="1:14" ht="16.5" thickTop="1" thickBot="1" x14ac:dyDescent="0.3">
      <c r="A45" s="7" t="s">
        <v>30</v>
      </c>
      <c r="B45" s="28"/>
      <c r="C45" s="29"/>
      <c r="D45" s="28"/>
      <c r="E45" s="28"/>
      <c r="F45" s="28"/>
      <c r="G45" s="28"/>
      <c r="H45" s="28"/>
      <c r="I45" s="9">
        <f>+I44-I41</f>
        <v>0</v>
      </c>
      <c r="J45" s="9">
        <f>+J44-J41</f>
        <v>0</v>
      </c>
      <c r="K45" s="9">
        <f>+K44-K41</f>
        <v>0</v>
      </c>
      <c r="L45" s="9">
        <f t="shared" ref="L45:N45" si="5">+L44-L41</f>
        <v>0</v>
      </c>
      <c r="M45" s="9">
        <f t="shared" si="5"/>
        <v>0</v>
      </c>
      <c r="N45" s="9">
        <f t="shared" si="5"/>
        <v>0</v>
      </c>
    </row>
    <row r="46" spans="1:14" ht="15.75" thickTop="1" x14ac:dyDescent="0.25"/>
  </sheetData>
  <protectedRanges>
    <protectedRange sqref="A29:C29 C12:C28 F20:G20 G18:G19 A8:XFD8 E25 E27:M29 N9:XFD29 N33:XFD38 K37 H18:H20 G9:I9 F21:H22 E23:H24 G25:H25 E26:H26 G10:H17 M33:M36 A33:I38 J38:M38 I10:I26 J33:K36 A9:A28" name="Range1"/>
    <protectedRange sqref="B9:C9 B10:B28" name="Range1_1"/>
    <protectedRange sqref="D9:D29" name="Range1_2"/>
    <protectedRange sqref="E9:F9 E10:E22 F10:F19 F25" name="Range1_3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4BA8BDB-53D6-49C3-ABCC-E46D7EAA39F8}">
          <x14:formula1>
            <xm:f>Status!$B$15:$B$22</xm:f>
          </x14:formula1>
          <xm:sqref>H9:H29</xm:sqref>
        </x14:dataValidation>
        <x14:dataValidation type="list" allowBlank="1" showInputMessage="1" showErrorMessage="1" xr:uid="{477E9492-0757-4148-ABBB-6EC6E83F516C}">
          <x14:formula1>
            <xm:f>Status!$B$3:$B$10</xm:f>
          </x14:formula1>
          <xm:sqref>D9:D29</xm:sqref>
        </x14:dataValidation>
        <x14:dataValidation type="list" allowBlank="1" showInputMessage="1" showErrorMessage="1" xr:uid="{AC578EBB-677D-46FD-834C-C060E317C31F}">
          <x14:formula1>
            <xm:f>Status!$B$26:$B$37</xm:f>
          </x14:formula1>
          <xm:sqref>B7:B1048576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7"/>
  <sheetViews>
    <sheetView topLeftCell="A24" zoomScaleNormal="100" workbookViewId="0">
      <selection activeCell="B38" sqref="A38:XFD38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x14ac:dyDescent="0.25">
      <c r="B2" s="18" t="s">
        <v>8</v>
      </c>
      <c r="C2" s="18" t="s">
        <v>31</v>
      </c>
    </row>
    <row r="3" spans="2:3" x14ac:dyDescent="0.25">
      <c r="B3" s="10" t="s">
        <v>32</v>
      </c>
      <c r="C3" s="19" t="s">
        <v>33</v>
      </c>
    </row>
    <row r="4" spans="2:3" x14ac:dyDescent="0.25">
      <c r="B4" s="10" t="s">
        <v>34</v>
      </c>
      <c r="C4" s="19" t="s">
        <v>35</v>
      </c>
    </row>
    <row r="5" spans="2:3" x14ac:dyDescent="0.25">
      <c r="B5" s="10" t="s">
        <v>36</v>
      </c>
      <c r="C5" s="19" t="s">
        <v>37</v>
      </c>
    </row>
    <row r="6" spans="2:3" x14ac:dyDescent="0.25">
      <c r="B6" s="10" t="s">
        <v>20</v>
      </c>
      <c r="C6" s="19" t="s">
        <v>38</v>
      </c>
    </row>
    <row r="7" spans="2:3" x14ac:dyDescent="0.25">
      <c r="B7" s="10" t="s">
        <v>39</v>
      </c>
      <c r="C7" s="19" t="s">
        <v>40</v>
      </c>
    </row>
    <row r="8" spans="2:3" x14ac:dyDescent="0.25">
      <c r="B8" s="10" t="s">
        <v>41</v>
      </c>
      <c r="C8" s="19" t="s">
        <v>42</v>
      </c>
    </row>
    <row r="9" spans="2:3" x14ac:dyDescent="0.25">
      <c r="B9" s="10" t="s">
        <v>43</v>
      </c>
      <c r="C9" s="19" t="s">
        <v>44</v>
      </c>
    </row>
    <row r="10" spans="2:3" x14ac:dyDescent="0.25">
      <c r="B10" s="10" t="s">
        <v>45</v>
      </c>
      <c r="C10" s="19" t="s">
        <v>46</v>
      </c>
    </row>
    <row r="11" spans="2:3" x14ac:dyDescent="0.25">
      <c r="B11" s="10" t="s">
        <v>47</v>
      </c>
      <c r="C11" s="19" t="s">
        <v>48</v>
      </c>
    </row>
    <row r="12" spans="2:3" x14ac:dyDescent="0.25">
      <c r="B12" s="1"/>
    </row>
    <row r="14" spans="2:3" x14ac:dyDescent="0.25">
      <c r="B14" s="18" t="s">
        <v>49</v>
      </c>
      <c r="C14" s="18" t="s">
        <v>31</v>
      </c>
    </row>
    <row r="15" spans="2:3" x14ac:dyDescent="0.25">
      <c r="B15" s="11" t="s">
        <v>50</v>
      </c>
      <c r="C15" s="19" t="s">
        <v>51</v>
      </c>
    </row>
    <row r="16" spans="2:3" x14ac:dyDescent="0.25">
      <c r="B16" s="11" t="s">
        <v>52</v>
      </c>
      <c r="C16" s="19" t="s">
        <v>53</v>
      </c>
    </row>
    <row r="17" spans="2:3" x14ac:dyDescent="0.25">
      <c r="B17" s="11" t="s">
        <v>54</v>
      </c>
      <c r="C17" s="19" t="s">
        <v>55</v>
      </c>
    </row>
    <row r="18" spans="2:3" x14ac:dyDescent="0.25">
      <c r="B18" s="11" t="s">
        <v>56</v>
      </c>
      <c r="C18" s="19" t="s">
        <v>57</v>
      </c>
    </row>
    <row r="19" spans="2:3" x14ac:dyDescent="0.25">
      <c r="B19" s="11" t="s">
        <v>58</v>
      </c>
      <c r="C19" s="19" t="s">
        <v>59</v>
      </c>
    </row>
    <row r="20" spans="2:3" x14ac:dyDescent="0.25">
      <c r="B20" s="11" t="s">
        <v>60</v>
      </c>
      <c r="C20" s="19" t="s">
        <v>61</v>
      </c>
    </row>
    <row r="21" spans="2:3" x14ac:dyDescent="0.25">
      <c r="B21" s="11" t="s">
        <v>62</v>
      </c>
      <c r="C21" s="19" t="s">
        <v>63</v>
      </c>
    </row>
    <row r="22" spans="2:3" x14ac:dyDescent="0.25">
      <c r="B22" s="11" t="s">
        <v>64</v>
      </c>
      <c r="C22" s="19" t="s">
        <v>65</v>
      </c>
    </row>
    <row r="26" spans="2:3" x14ac:dyDescent="0.25">
      <c r="B26" s="10" t="s">
        <v>6</v>
      </c>
    </row>
    <row r="27" spans="2:3" x14ac:dyDescent="0.25">
      <c r="B27" s="19" t="s">
        <v>91</v>
      </c>
    </row>
    <row r="28" spans="2:3" x14ac:dyDescent="0.25">
      <c r="B28" s="19" t="s">
        <v>92</v>
      </c>
    </row>
    <row r="29" spans="2:3" x14ac:dyDescent="0.25">
      <c r="B29" s="19" t="s">
        <v>93</v>
      </c>
    </row>
    <row r="30" spans="2:3" x14ac:dyDescent="0.25">
      <c r="B30" s="19" t="s">
        <v>90</v>
      </c>
    </row>
    <row r="31" spans="2:3" x14ac:dyDescent="0.25">
      <c r="B31" s="19" t="s">
        <v>94</v>
      </c>
    </row>
    <row r="32" spans="2:3" x14ac:dyDescent="0.25">
      <c r="B32" s="19" t="s">
        <v>95</v>
      </c>
    </row>
    <row r="33" spans="2:2" x14ac:dyDescent="0.25">
      <c r="B33" s="19" t="s">
        <v>96</v>
      </c>
    </row>
    <row r="34" spans="2:2" x14ac:dyDescent="0.25">
      <c r="B34" s="19" t="s">
        <v>97</v>
      </c>
    </row>
    <row r="35" spans="2:2" x14ac:dyDescent="0.25">
      <c r="B35" s="19" t="s">
        <v>98</v>
      </c>
    </row>
    <row r="36" spans="2:2" x14ac:dyDescent="0.25">
      <c r="B36" s="19" t="s">
        <v>99</v>
      </c>
    </row>
    <row r="37" spans="2:2" x14ac:dyDescent="0.25">
      <c r="B37" s="19" t="s">
        <v>100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11" sqref="A11"/>
    </sheetView>
  </sheetViews>
  <sheetFormatPr defaultRowHeight="15.75" x14ac:dyDescent="0.25"/>
  <cols>
    <col min="1" max="1" width="124.28515625" bestFit="1" customWidth="1"/>
    <col min="2" max="16384" width="9.140625" style="17"/>
  </cols>
  <sheetData>
    <row r="1" spans="1:1" s="16" customFormat="1" ht="16.5" thickBot="1" x14ac:dyDescent="0.3">
      <c r="A1" s="20" t="s">
        <v>66</v>
      </c>
    </row>
    <row r="2" spans="1:1" s="16" customFormat="1" x14ac:dyDescent="0.25">
      <c r="A2" s="21"/>
    </row>
    <row r="3" spans="1:1" s="16" customFormat="1" x14ac:dyDescent="0.25">
      <c r="A3" s="22" t="s">
        <v>67</v>
      </c>
    </row>
    <row r="4" spans="1:1" s="16" customFormat="1" x14ac:dyDescent="0.25">
      <c r="A4" s="21"/>
    </row>
    <row r="5" spans="1:1" s="16" customFormat="1" x14ac:dyDescent="0.25">
      <c r="A5" s="21"/>
    </row>
    <row r="6" spans="1:1" s="16" customFormat="1" x14ac:dyDescent="0.25">
      <c r="A6" s="21"/>
    </row>
    <row r="7" spans="1:1" x14ac:dyDescent="0.25">
      <c r="A7" s="22" t="s">
        <v>68</v>
      </c>
    </row>
    <row r="8" spans="1:1" x14ac:dyDescent="0.25">
      <c r="A8" s="22" t="s">
        <v>69</v>
      </c>
    </row>
    <row r="9" spans="1:1" x14ac:dyDescent="0.25">
      <c r="A9" s="22" t="s">
        <v>70</v>
      </c>
    </row>
    <row r="10" spans="1:1" x14ac:dyDescent="0.25">
      <c r="A10" s="22" t="s">
        <v>71</v>
      </c>
    </row>
    <row r="11" spans="1:1" x14ac:dyDescent="0.25">
      <c r="A11" s="22" t="s">
        <v>72</v>
      </c>
    </row>
    <row r="12" spans="1:1" x14ac:dyDescent="0.25">
      <c r="A12" s="22" t="s">
        <v>73</v>
      </c>
    </row>
    <row r="14" spans="1:1" x14ac:dyDescent="0.25">
      <c r="A14" s="13"/>
    </row>
    <row r="15" spans="1:1" x14ac:dyDescent="0.25">
      <c r="A15" s="13"/>
    </row>
    <row r="16" spans="1:1" x14ac:dyDescent="0.25">
      <c r="A16" s="13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Firoz Shaikh</cp:lastModifiedBy>
  <cp:revision/>
  <dcterms:created xsi:type="dcterms:W3CDTF">2015-06-05T18:17:20Z</dcterms:created>
  <dcterms:modified xsi:type="dcterms:W3CDTF">2026-05-04T07:07:37Z</dcterms:modified>
  <cp:category/>
  <cp:contentStatus/>
</cp:coreProperties>
</file>