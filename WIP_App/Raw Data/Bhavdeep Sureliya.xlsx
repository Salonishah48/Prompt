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Accounts WIP\Team Jainam Appa\"/>
    </mc:Choice>
  </mc:AlternateContent>
  <xr:revisionPtr revIDLastSave="0" documentId="13_ncr:1_{24790214-8F14-4192-8B98-9009CE278B5B}" xr6:coauthVersionLast="47" xr6:coauthVersionMax="47" xr10:uidLastSave="{00000000-0000-0000-0000-000000000000}"/>
  <bookViews>
    <workbookView xWindow="20370" yWindow="-120" windowWidth="20730" windowHeight="11040" xr2:uid="{00000000-000D-0000-FFFF-FFFF00000000}"/>
  </bookViews>
  <sheets>
    <sheet name="WIP" sheetId="1" r:id="rId1"/>
    <sheet name="Status" sheetId="2" r:id="rId2"/>
    <sheet name="Instruction" sheetId="3" r:id="rId3"/>
    <sheet name="Client List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0" i="1" l="1"/>
  <c r="M34" i="1"/>
  <c r="L34" i="1"/>
  <c r="L36" i="1" s="1"/>
  <c r="M25" i="1"/>
  <c r="L25" i="1"/>
  <c r="K25" i="1"/>
  <c r="I23" i="1"/>
  <c r="I24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J25" i="1"/>
  <c r="I30" i="1"/>
  <c r="M36" i="1" l="1"/>
  <c r="M40" i="1" s="1"/>
  <c r="I25" i="1"/>
  <c r="I29" i="1"/>
  <c r="I31" i="1" l="1"/>
  <c r="I28" i="1"/>
  <c r="I34" i="1" l="1"/>
  <c r="K34" i="1" l="1"/>
  <c r="J34" i="1"/>
  <c r="K6" i="1"/>
  <c r="L6" i="1" s="1"/>
  <c r="M6" i="1" s="1"/>
  <c r="J36" i="1" l="1"/>
  <c r="J40" i="1" s="1"/>
  <c r="K36" i="1"/>
  <c r="K40" i="1" s="1"/>
  <c r="I36" i="1"/>
</calcChain>
</file>

<file path=xl/sharedStrings.xml><?xml version="1.0" encoding="utf-8"?>
<sst xmlns="http://schemas.openxmlformats.org/spreadsheetml/2006/main" count="123" uniqueCount="111">
  <si>
    <t>Work in Progress Report</t>
  </si>
  <si>
    <t xml:space="preserve">Name: </t>
  </si>
  <si>
    <t>Title:</t>
  </si>
  <si>
    <t>Manager Name:</t>
  </si>
  <si>
    <t>Week starting on --&gt;&gt;</t>
  </si>
  <si>
    <t>Sr #</t>
  </si>
  <si>
    <t>Client Name</t>
  </si>
  <si>
    <t>Project (sub-client)</t>
  </si>
  <si>
    <t>Date in</t>
  </si>
  <si>
    <t>Internal due Date</t>
  </si>
  <si>
    <t>Completion date</t>
  </si>
  <si>
    <t>Status</t>
  </si>
  <si>
    <t>Hours of work</t>
  </si>
  <si>
    <t>Billable Hours</t>
  </si>
  <si>
    <t>In Preparation</t>
  </si>
  <si>
    <t>Total of Billable hours</t>
  </si>
  <si>
    <t>Non Billable hours</t>
  </si>
  <si>
    <t>Admin</t>
  </si>
  <si>
    <t>Management</t>
  </si>
  <si>
    <t>Training</t>
  </si>
  <si>
    <t>Leave</t>
  </si>
  <si>
    <t>Unassigned</t>
  </si>
  <si>
    <t>Total of non-billable</t>
  </si>
  <si>
    <t>Total Hours</t>
  </si>
  <si>
    <t>Weekly hours to be completed</t>
  </si>
  <si>
    <t>Available hours</t>
  </si>
  <si>
    <t>Not Started</t>
  </si>
  <si>
    <t>In Review</t>
  </si>
  <si>
    <t>Completed</t>
  </si>
  <si>
    <t>Points to be considered while updating the tracker</t>
  </si>
  <si>
    <t>Always use Sr. no. when inputting data (If there is no data, don't write sr. no).</t>
  </si>
  <si>
    <t>Don't leave any row blank in between (if require you can add a row in between)</t>
  </si>
  <si>
    <t>Don’t add or delete any column</t>
  </si>
  <si>
    <t>On Hold</t>
  </si>
  <si>
    <t>Ready to Work</t>
  </si>
  <si>
    <t>Work Item</t>
  </si>
  <si>
    <t>1099 Management</t>
  </si>
  <si>
    <t>Bookkeeping Management</t>
  </si>
  <si>
    <t>Payroll Management</t>
  </si>
  <si>
    <t>Sales Tax Management</t>
  </si>
  <si>
    <t>Purpose (Suggested Comment)</t>
  </si>
  <si>
    <t>Any work performed related to 1099, including calculation, filing, and W-9 updates.</t>
  </si>
  <si>
    <t>Accounts Payable / Receivable Management</t>
  </si>
  <si>
    <t>Invoice/Bill posting, payment processing, vendor reconciliation, and revenue reconciliation.</t>
  </si>
  <si>
    <t>Clean-up / Catch‑up Project Management</t>
  </si>
  <si>
    <t>Any accounting work performed apart from regular monthly bookkeeping.</t>
  </si>
  <si>
    <t>Weekly/Monthly/Quarterly bookkeeping activities.</t>
  </si>
  <si>
    <t>Month-End / Quarter-End Close Management</t>
  </si>
  <si>
    <t>Month-end/Quarter-end book review, financial statement preparation, and reporting.</t>
  </si>
  <si>
    <t>Payroll processing, working, posting, and reconciliation.</t>
  </si>
  <si>
    <t>Sales tax calculation and filing.</t>
  </si>
  <si>
    <t>Year-End / 13th Month Process Management</t>
  </si>
  <si>
    <t>Year-end finalization work, financial statement printing, and tax-to-book adjustments.</t>
  </si>
  <si>
    <t>Account Status</t>
  </si>
  <si>
    <t>Work is assigned but no action has been taken yet.</t>
  </si>
  <si>
    <t>Awaiting Documents / Information</t>
  </si>
  <si>
    <t>Pending required documents or information from the client, which is preventing progress on the task.</t>
  </si>
  <si>
    <t>All necessary documents and information have been received; the task is ready to begin.</t>
  </si>
  <si>
    <t>Work is currently in progress.</t>
  </si>
  <si>
    <t>Bookkeeping/Preparation work is completed and is under review.</t>
  </si>
  <si>
    <t>Task is fully completed (100%).</t>
  </si>
  <si>
    <t>Re-work as per Client Comment</t>
  </si>
  <si>
    <t>Performing corrections or updates based on client feedback or additional requirements received after submission.</t>
  </si>
  <si>
    <t>Work is put on hold as per client instruction until approval is received to restart.</t>
  </si>
  <si>
    <t>Please enter Client name and Project strictly as mention on ZOHO</t>
  </si>
  <si>
    <t>Work Item and Status (Yellow Highlighted) should be selected from drop down , do let us know if you need to add anything </t>
  </si>
  <si>
    <t>Please update below Information as per ZOHO only.</t>
  </si>
  <si>
    <t>Weeks should start from column "J6" - Don't change sequence (K6,L6,M6 will update automatically).</t>
  </si>
  <si>
    <t>Client Meetings and Communication</t>
  </si>
  <si>
    <t>Meeting and communication with client, poc</t>
  </si>
  <si>
    <t>Bhavdeep Sureliya</t>
  </si>
  <si>
    <t>Jainam Appa</t>
  </si>
  <si>
    <t>Semi Senior</t>
  </si>
  <si>
    <t>The Tax Planning Pros</t>
  </si>
  <si>
    <t>Sr.No</t>
  </si>
  <si>
    <t>Advanced Accounting &amp; Tax Solutions</t>
  </si>
  <si>
    <t>Bearden Stroup &amp; Associates CPAs</t>
  </si>
  <si>
    <t>Bookworks Accounting &amp; Bookkeeping, LLC</t>
  </si>
  <si>
    <t>CAVU Human Capital Management</t>
  </si>
  <si>
    <t>Christy Shepherd Ervin</t>
  </si>
  <si>
    <t>Clarke Public Accounting, Co.</t>
  </si>
  <si>
    <t>Conscious Accounting</t>
  </si>
  <si>
    <t>Convery CPA</t>
  </si>
  <si>
    <t>DPB CPA</t>
  </si>
  <si>
    <t>Gift CPAs, LLC</t>
  </si>
  <si>
    <t>Gracida Homes LLC</t>
  </si>
  <si>
    <t>Hilltop Research</t>
  </si>
  <si>
    <t>HM &amp; M Advisory, LLC A Springline Company</t>
  </si>
  <si>
    <t>Jebran &amp; Abraham PC</t>
  </si>
  <si>
    <t>L&amp;Y Tax Advisors (Jake Lambert)</t>
  </si>
  <si>
    <t>Leung Tax Consulting, Inc.</t>
  </si>
  <si>
    <t>Matthew Mann CPA PLLC</t>
  </si>
  <si>
    <t>Mollica and Yeaman LLC</t>
  </si>
  <si>
    <t>SDA CPA Group, P.C</t>
  </si>
  <si>
    <t>Sharp Income Tax Service, Inc.</t>
  </si>
  <si>
    <t>Springline Advisory LLC</t>
  </si>
  <si>
    <t>SPRLINE CONSULTANCY PRIVATE LIMITED</t>
  </si>
  <si>
    <t>Taxcap Business Services Inc.</t>
  </si>
  <si>
    <t>Tina Nguyen</t>
  </si>
  <si>
    <t>Total Income Tax LLC</t>
  </si>
  <si>
    <t>VN Florida Homes LLC</t>
  </si>
  <si>
    <t>Warriror Business Services</t>
  </si>
  <si>
    <t>Palma Financial</t>
  </si>
  <si>
    <t>Gurram Tax, LLC</t>
  </si>
  <si>
    <t>Week 1</t>
  </si>
  <si>
    <t>Aamped Inc</t>
  </si>
  <si>
    <t>Week 2</t>
  </si>
  <si>
    <t>Week 3</t>
  </si>
  <si>
    <t>Week 4</t>
  </si>
  <si>
    <t>Darius Hamptons Real Estate</t>
  </si>
  <si>
    <t>Summit Scapes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</si>
</sst>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theme="1"/>
      <name val="Segoe UI"/>
      <family val="2"/>
    </font>
    <font>
      <sz val="11"/>
      <color rgb="FFCD5937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0" fillId="3" borderId="0" xfId="0" applyFill="1"/>
    <xf numFmtId="0" fontId="2" fillId="0" borderId="0" xfId="0" applyFont="1"/>
    <xf numFmtId="43" fontId="1" fillId="0" borderId="0" xfId="1" applyFont="1"/>
    <xf numFmtId="0" fontId="0" fillId="4" borderId="0" xfId="0" applyFill="1"/>
    <xf numFmtId="0" fontId="1" fillId="3" borderId="0" xfId="0" applyFont="1" applyFill="1"/>
    <xf numFmtId="43" fontId="0" fillId="0" borderId="0" xfId="1" applyFont="1"/>
    <xf numFmtId="43" fontId="1" fillId="0" borderId="1" xfId="1" applyFont="1" applyBorder="1"/>
    <xf numFmtId="0" fontId="5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1" fillId="0" borderId="3" xfId="0" applyFont="1" applyBorder="1"/>
    <xf numFmtId="0" fontId="0" fillId="0" borderId="3" xfId="0" applyBorder="1"/>
    <xf numFmtId="0" fontId="1" fillId="0" borderId="3" xfId="0" applyFont="1" applyBorder="1" applyAlignment="1">
      <alignment horizontal="left"/>
    </xf>
    <xf numFmtId="0" fontId="6" fillId="6" borderId="3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center" vertical="center" wrapText="1"/>
    </xf>
    <xf numFmtId="0" fontId="0" fillId="5" borderId="0" xfId="0" applyFill="1"/>
    <xf numFmtId="0" fontId="7" fillId="0" borderId="0" xfId="0" applyFont="1" applyAlignment="1">
      <alignment vertical="center" wrapText="1"/>
    </xf>
    <xf numFmtId="0" fontId="8" fillId="0" borderId="3" xfId="0" applyFont="1" applyBorder="1"/>
    <xf numFmtId="0" fontId="9" fillId="0" borderId="3" xfId="0" applyFont="1" applyBorder="1"/>
    <xf numFmtId="16" fontId="1" fillId="0" borderId="0" xfId="0" applyNumberFormat="1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3</xdr:row>
      <xdr:rowOff>47625</xdr:rowOff>
    </xdr:from>
    <xdr:to>
      <xdr:col>0</xdr:col>
      <xdr:colOff>3343730</xdr:colOff>
      <xdr:row>6</xdr:row>
      <xdr:rowOff>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63BCEF-AC95-4953-BDB7-7656B44AC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657225"/>
          <a:ext cx="3258005" cy="552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7" sqref="A7"/>
      <selection pane="bottomRight" activeCell="B11" sqref="B11"/>
    </sheetView>
  </sheetViews>
  <sheetFormatPr defaultRowHeight="15" x14ac:dyDescent="0.25"/>
  <cols>
    <col min="1" max="1" width="24.5703125" bestFit="1" customWidth="1"/>
    <col min="2" max="2" width="25.140625" customWidth="1"/>
    <col min="3" max="3" width="26.7109375" bestFit="1" customWidth="1"/>
    <col min="4" max="4" width="31.85546875" customWidth="1"/>
    <col min="5" max="6" width="11.7109375" customWidth="1"/>
    <col min="7" max="7" width="11.42578125" bestFit="1" customWidth="1"/>
    <col min="8" max="8" width="17.5703125" customWidth="1"/>
    <col min="9" max="9" width="8.42578125" customWidth="1"/>
    <col min="10" max="10" width="10.7109375" customWidth="1"/>
    <col min="11" max="13" width="10.7109375" bestFit="1" customWidth="1"/>
  </cols>
  <sheetData>
    <row r="1" spans="1:13" x14ac:dyDescent="0.25">
      <c r="A1" s="1" t="s">
        <v>0</v>
      </c>
      <c r="H1" s="11"/>
    </row>
    <row r="2" spans="1:13" x14ac:dyDescent="0.25">
      <c r="A2" s="1" t="s">
        <v>1</v>
      </c>
      <c r="B2" s="9" t="s">
        <v>70</v>
      </c>
      <c r="C2" s="9"/>
      <c r="H2" s="1"/>
      <c r="I2" s="1"/>
      <c r="J2" s="10"/>
    </row>
    <row r="3" spans="1:13" x14ac:dyDescent="0.25">
      <c r="A3" s="1" t="s">
        <v>2</v>
      </c>
      <c r="B3" s="9" t="s">
        <v>72</v>
      </c>
      <c r="C3" s="9"/>
      <c r="H3" s="1"/>
      <c r="I3" s="1"/>
      <c r="J3" s="10"/>
    </row>
    <row r="4" spans="1:13" x14ac:dyDescent="0.25">
      <c r="A4" s="1" t="s">
        <v>3</v>
      </c>
      <c r="B4" s="9" t="s">
        <v>71</v>
      </c>
      <c r="C4" s="9"/>
      <c r="H4" s="1"/>
      <c r="I4" s="1"/>
      <c r="J4" s="10"/>
    </row>
    <row r="5" spans="1:13" x14ac:dyDescent="0.25">
      <c r="A5" s="1"/>
      <c r="B5" s="9"/>
      <c r="C5" s="9"/>
    </row>
    <row r="6" spans="1:13" x14ac:dyDescent="0.25">
      <c r="I6" s="7" t="s">
        <v>4</v>
      </c>
      <c r="J6" s="2">
        <v>46146</v>
      </c>
      <c r="K6" s="2">
        <f>J6+7</f>
        <v>46153</v>
      </c>
      <c r="L6" s="2">
        <f>K6+7</f>
        <v>46160</v>
      </c>
      <c r="M6" s="2">
        <f>L6+7</f>
        <v>46167</v>
      </c>
    </row>
    <row r="7" spans="1:13" ht="30" x14ac:dyDescent="0.25">
      <c r="A7" s="3" t="s">
        <v>5</v>
      </c>
      <c r="B7" s="3" t="s">
        <v>6</v>
      </c>
      <c r="C7" s="3" t="s">
        <v>7</v>
      </c>
      <c r="D7" s="23" t="s">
        <v>35</v>
      </c>
      <c r="E7" s="3" t="s">
        <v>8</v>
      </c>
      <c r="F7" s="3" t="s">
        <v>9</v>
      </c>
      <c r="G7" s="3" t="s">
        <v>10</v>
      </c>
      <c r="H7" s="23" t="s">
        <v>11</v>
      </c>
      <c r="I7" s="3" t="s">
        <v>12</v>
      </c>
      <c r="J7" s="3" t="s">
        <v>104</v>
      </c>
      <c r="K7" s="3" t="s">
        <v>106</v>
      </c>
      <c r="L7" s="3" t="s">
        <v>107</v>
      </c>
      <c r="M7" s="3" t="s">
        <v>108</v>
      </c>
    </row>
    <row r="8" spans="1:13" x14ac:dyDescent="0.25">
      <c r="A8" s="6" t="s">
        <v>13</v>
      </c>
      <c r="B8" s="4"/>
      <c r="C8" s="4"/>
      <c r="D8" s="23"/>
      <c r="E8" s="28"/>
      <c r="F8" s="4"/>
      <c r="G8" s="4"/>
      <c r="H8" s="23"/>
      <c r="I8" s="4"/>
      <c r="J8" s="4"/>
      <c r="K8" s="5"/>
    </row>
    <row r="9" spans="1:13" x14ac:dyDescent="0.25">
      <c r="A9">
        <v>1</v>
      </c>
      <c r="B9" t="s">
        <v>73</v>
      </c>
      <c r="C9" t="s">
        <v>105</v>
      </c>
      <c r="D9" s="24" t="s">
        <v>37</v>
      </c>
      <c r="E9" s="2">
        <v>46143</v>
      </c>
      <c r="F9" s="2"/>
      <c r="G9" s="2"/>
      <c r="H9" s="24" t="s">
        <v>26</v>
      </c>
      <c r="I9" s="13">
        <f>SUM(J9:M9)</f>
        <v>3</v>
      </c>
      <c r="J9" s="13">
        <v>3</v>
      </c>
    </row>
    <row r="10" spans="1:13" x14ac:dyDescent="0.25">
      <c r="A10">
        <v>2</v>
      </c>
      <c r="B10" t="s">
        <v>73</v>
      </c>
      <c r="C10" t="s">
        <v>109</v>
      </c>
      <c r="D10" s="24" t="s">
        <v>37</v>
      </c>
      <c r="E10" s="2">
        <v>46143</v>
      </c>
      <c r="F10" s="2"/>
      <c r="G10" s="2"/>
      <c r="H10" s="24" t="s">
        <v>26</v>
      </c>
      <c r="I10" s="13">
        <f t="shared" ref="I10:I24" si="0">SUM(J10:M10)</f>
        <v>1.5</v>
      </c>
      <c r="J10" s="13">
        <v>1.5</v>
      </c>
    </row>
    <row r="11" spans="1:13" x14ac:dyDescent="0.25">
      <c r="A11">
        <v>3</v>
      </c>
      <c r="B11" t="s">
        <v>73</v>
      </c>
      <c r="C11" t="s">
        <v>110</v>
      </c>
      <c r="D11" s="24" t="s">
        <v>44</v>
      </c>
      <c r="E11" s="2">
        <v>46143</v>
      </c>
      <c r="G11" s="2"/>
      <c r="H11" s="24" t="s">
        <v>26</v>
      </c>
      <c r="I11" s="13">
        <f t="shared" si="0"/>
        <v>8</v>
      </c>
      <c r="J11" s="13">
        <v>8</v>
      </c>
    </row>
    <row r="12" spans="1:13" x14ac:dyDescent="0.25">
      <c r="D12" s="24"/>
      <c r="E12" s="2"/>
      <c r="F12" s="2"/>
      <c r="G12" s="2"/>
      <c r="H12" s="24"/>
      <c r="I12" s="13">
        <f t="shared" si="0"/>
        <v>0</v>
      </c>
      <c r="J12" s="13"/>
    </row>
    <row r="13" spans="1:13" x14ac:dyDescent="0.25">
      <c r="D13" s="24"/>
      <c r="E13" s="2"/>
      <c r="G13" s="2"/>
      <c r="H13" s="24"/>
      <c r="I13" s="13">
        <f t="shared" si="0"/>
        <v>0</v>
      </c>
      <c r="J13" s="13"/>
    </row>
    <row r="14" spans="1:13" x14ac:dyDescent="0.25">
      <c r="D14" s="24"/>
      <c r="E14" s="2"/>
      <c r="G14" s="2"/>
      <c r="H14" s="24"/>
      <c r="I14" s="13">
        <f t="shared" si="0"/>
        <v>0</v>
      </c>
      <c r="J14" s="13"/>
    </row>
    <row r="15" spans="1:13" x14ac:dyDescent="0.25">
      <c r="D15" s="24"/>
      <c r="E15" s="2"/>
      <c r="G15" s="2"/>
      <c r="H15" s="24"/>
      <c r="I15" s="13">
        <f t="shared" si="0"/>
        <v>0</v>
      </c>
      <c r="J15" s="13"/>
    </row>
    <row r="16" spans="1:13" x14ac:dyDescent="0.25">
      <c r="D16" s="24"/>
      <c r="E16" s="2"/>
      <c r="G16" s="2"/>
      <c r="H16" s="24"/>
      <c r="I16" s="13">
        <f t="shared" si="0"/>
        <v>0</v>
      </c>
      <c r="J16" s="13"/>
    </row>
    <row r="17" spans="1:13" x14ac:dyDescent="0.25">
      <c r="D17" s="24"/>
      <c r="E17" s="2"/>
      <c r="G17" s="2"/>
      <c r="H17" s="24"/>
      <c r="I17" s="13">
        <f t="shared" si="0"/>
        <v>0</v>
      </c>
      <c r="J17" s="13"/>
    </row>
    <row r="18" spans="1:13" x14ac:dyDescent="0.25">
      <c r="D18" s="24"/>
      <c r="E18" s="2"/>
      <c r="G18" s="2"/>
      <c r="H18" s="24"/>
      <c r="I18" s="13">
        <f t="shared" si="0"/>
        <v>0</v>
      </c>
      <c r="J18" s="13"/>
    </row>
    <row r="19" spans="1:13" x14ac:dyDescent="0.25">
      <c r="D19" s="24"/>
      <c r="E19" s="2"/>
      <c r="G19" s="2"/>
      <c r="H19" s="24"/>
      <c r="I19" s="13">
        <f t="shared" si="0"/>
        <v>0</v>
      </c>
      <c r="J19" s="13"/>
    </row>
    <row r="20" spans="1:13" x14ac:dyDescent="0.25">
      <c r="D20" s="24"/>
      <c r="E20" s="2"/>
      <c r="G20" s="2"/>
      <c r="H20" s="24"/>
      <c r="I20" s="13">
        <f t="shared" si="0"/>
        <v>0</v>
      </c>
      <c r="J20" s="13"/>
    </row>
    <row r="21" spans="1:13" x14ac:dyDescent="0.25">
      <c r="D21" s="24"/>
      <c r="E21" s="2"/>
      <c r="G21" s="2"/>
      <c r="H21" s="24"/>
      <c r="I21" s="13">
        <f t="shared" si="0"/>
        <v>0</v>
      </c>
      <c r="J21" s="13"/>
    </row>
    <row r="22" spans="1:13" x14ac:dyDescent="0.25">
      <c r="D22" s="24"/>
      <c r="E22" s="2"/>
      <c r="G22" s="2"/>
      <c r="H22" s="24"/>
      <c r="I22" s="13">
        <f t="shared" si="0"/>
        <v>0</v>
      </c>
      <c r="J22" s="13"/>
    </row>
    <row r="23" spans="1:13" x14ac:dyDescent="0.25">
      <c r="D23" s="24"/>
      <c r="E23" s="2"/>
      <c r="G23" s="2"/>
      <c r="H23" s="24"/>
      <c r="I23" s="13">
        <f>SUM(J23:M23)</f>
        <v>0</v>
      </c>
      <c r="J23" s="13"/>
    </row>
    <row r="24" spans="1:13" x14ac:dyDescent="0.25">
      <c r="D24" s="24"/>
      <c r="H24" s="24"/>
      <c r="I24" s="13">
        <f t="shared" si="0"/>
        <v>0</v>
      </c>
    </row>
    <row r="25" spans="1:13" ht="15.75" thickBot="1" x14ac:dyDescent="0.3">
      <c r="A25" s="12" t="s">
        <v>15</v>
      </c>
      <c r="B25" s="8"/>
      <c r="C25" s="8"/>
      <c r="D25" s="8"/>
      <c r="E25" s="8"/>
      <c r="F25" s="8"/>
      <c r="G25" s="8"/>
      <c r="H25" s="8"/>
      <c r="I25" s="14">
        <f>SUM(I8:I24)</f>
        <v>12.5</v>
      </c>
      <c r="J25" s="14">
        <f>SUM(J8:J24)</f>
        <v>12.5</v>
      </c>
      <c r="K25" s="14">
        <f>SUM(K8:K24)</f>
        <v>0</v>
      </c>
      <c r="L25" s="14">
        <f>SUM(L8:L24)</f>
        <v>0</v>
      </c>
      <c r="M25" s="14">
        <f>SUM(M8:M24)</f>
        <v>0</v>
      </c>
    </row>
    <row r="26" spans="1:13" ht="15.75" thickTop="1" x14ac:dyDescent="0.25">
      <c r="I26" s="13"/>
      <c r="J26" s="13"/>
      <c r="K26" s="13"/>
    </row>
    <row r="27" spans="1:13" x14ac:dyDescent="0.25">
      <c r="A27" s="1" t="s">
        <v>16</v>
      </c>
      <c r="I27" s="13"/>
      <c r="J27" s="13"/>
      <c r="K27" s="13"/>
    </row>
    <row r="28" spans="1:13" x14ac:dyDescent="0.25">
      <c r="B28" t="s">
        <v>17</v>
      </c>
      <c r="I28" s="13">
        <f>SUM(J28:K28)</f>
        <v>0</v>
      </c>
      <c r="J28" s="13"/>
      <c r="K28" s="13"/>
    </row>
    <row r="29" spans="1:13" x14ac:dyDescent="0.25">
      <c r="B29" t="s">
        <v>18</v>
      </c>
      <c r="I29" s="13">
        <f>SUM(J29:K29)</f>
        <v>0</v>
      </c>
      <c r="J29" s="13"/>
      <c r="K29" s="13"/>
    </row>
    <row r="30" spans="1:13" x14ac:dyDescent="0.25">
      <c r="B30" t="s">
        <v>19</v>
      </c>
      <c r="I30" s="13">
        <f>SUM(J30:K30)</f>
        <v>0</v>
      </c>
      <c r="J30" s="13"/>
      <c r="K30" s="13"/>
    </row>
    <row r="31" spans="1:13" x14ac:dyDescent="0.25">
      <c r="B31" t="s">
        <v>20</v>
      </c>
      <c r="I31" s="13">
        <f>SUM(J31:K31)</f>
        <v>0</v>
      </c>
      <c r="J31" s="13"/>
      <c r="K31" s="13"/>
    </row>
    <row r="32" spans="1:13" x14ac:dyDescent="0.25">
      <c r="B32" t="s">
        <v>21</v>
      </c>
      <c r="I32" s="13"/>
      <c r="J32" s="13">
        <v>27.5</v>
      </c>
      <c r="K32" s="13"/>
    </row>
    <row r="34" spans="1:13" ht="15.75" thickBot="1" x14ac:dyDescent="0.3">
      <c r="A34" s="12" t="s">
        <v>22</v>
      </c>
      <c r="B34" s="8"/>
      <c r="C34" s="8"/>
      <c r="D34" s="8"/>
      <c r="E34" s="8"/>
      <c r="F34" s="8"/>
      <c r="G34" s="8"/>
      <c r="H34" s="8"/>
      <c r="I34" s="14">
        <f>SUM(I28:I33)</f>
        <v>0</v>
      </c>
      <c r="J34" s="14">
        <f t="shared" ref="J34:M34" si="1">SUM(J28:J33)</f>
        <v>27.5</v>
      </c>
      <c r="K34" s="14">
        <f t="shared" si="1"/>
        <v>0</v>
      </c>
      <c r="L34" s="14">
        <f t="shared" si="1"/>
        <v>0</v>
      </c>
      <c r="M34" s="14">
        <f t="shared" si="1"/>
        <v>0</v>
      </c>
    </row>
    <row r="35" spans="1:13" ht="15.75" thickTop="1" x14ac:dyDescent="0.25">
      <c r="I35" s="13"/>
      <c r="J35" s="13"/>
      <c r="K35" s="13"/>
    </row>
    <row r="36" spans="1:13" ht="15.75" thickBot="1" x14ac:dyDescent="0.3">
      <c r="A36" s="12" t="s">
        <v>23</v>
      </c>
      <c r="B36" s="8"/>
      <c r="C36" s="8"/>
      <c r="D36" s="8"/>
      <c r="E36" s="8"/>
      <c r="F36" s="8"/>
      <c r="G36" s="8"/>
      <c r="H36" s="8"/>
      <c r="I36" s="14">
        <f>+I34+I25</f>
        <v>12.5</v>
      </c>
      <c r="J36" s="14">
        <f t="shared" ref="J36:M36" si="2">+J34+J25</f>
        <v>40</v>
      </c>
      <c r="K36" s="14">
        <f t="shared" si="2"/>
        <v>0</v>
      </c>
      <c r="L36" s="14">
        <f t="shared" si="2"/>
        <v>0</v>
      </c>
      <c r="M36" s="14">
        <f t="shared" si="2"/>
        <v>0</v>
      </c>
    </row>
    <row r="37" spans="1:13" ht="15.75" thickTop="1" x14ac:dyDescent="0.25"/>
    <row r="39" spans="1:13" ht="15.75" thickBot="1" x14ac:dyDescent="0.3">
      <c r="A39" s="12" t="s">
        <v>24</v>
      </c>
      <c r="B39" s="8"/>
      <c r="C39" s="8"/>
      <c r="D39" s="8"/>
      <c r="E39" s="8"/>
      <c r="F39" s="8"/>
      <c r="G39" s="8"/>
      <c r="H39" s="8"/>
      <c r="I39" s="14"/>
      <c r="J39" s="14"/>
      <c r="K39" s="14"/>
      <c r="L39" s="14"/>
      <c r="M39" s="14"/>
    </row>
    <row r="40" spans="1:13" ht="16.5" thickTop="1" thickBot="1" x14ac:dyDescent="0.3">
      <c r="A40" s="12" t="s">
        <v>25</v>
      </c>
      <c r="B40" s="8"/>
      <c r="C40" s="8"/>
      <c r="D40" s="8"/>
      <c r="E40" s="8"/>
      <c r="F40" s="8"/>
      <c r="G40" s="8"/>
      <c r="H40" s="8"/>
      <c r="I40" s="14"/>
      <c r="J40" s="14">
        <f t="shared" ref="J40" si="3">+J39-J36</f>
        <v>-40</v>
      </c>
      <c r="K40" s="14">
        <f>+K39-K36</f>
        <v>0</v>
      </c>
      <c r="L40" s="14">
        <f>+L39-L36</f>
        <v>0</v>
      </c>
      <c r="M40" s="14">
        <f>+M39-M36</f>
        <v>0</v>
      </c>
    </row>
    <row r="41" spans="1:13" ht="15.75" thickTop="1" x14ac:dyDescent="0.25"/>
  </sheetData>
  <protectedRanges>
    <protectedRange sqref="G13:H13 H9:H12 E24:H24 H14:H23 J9:XFD24 A24:C24 F11:F23 A28:XFD33 A8:XFD8" name="Range1"/>
    <protectedRange sqref="D9:D24" name="Range1_2"/>
    <protectedRange sqref="F9:F10" name="Range1_3"/>
    <protectedRange sqref="C12:C17 A9:A23 C19:C23" name="Range1_4"/>
    <protectedRange sqref="B9:C9 C18 B10:B23" name="Range1_1_1"/>
    <protectedRange sqref="G15:G23" name="Range1_5"/>
    <protectedRange sqref="E18:E23" name="Range1_3_1"/>
    <protectedRange sqref="G9:G12 G14 E9:E17" name="Range1_6"/>
    <protectedRange sqref="I9:I24" name="Range1_1"/>
  </protectedRanges>
  <pageMargins left="0.25" right="0.25" top="0.75" bottom="0.75" header="0.3" footer="0.3"/>
  <pageSetup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4BA8BDB-53D6-49C3-ABCC-E46D7EAA39F8}">
          <x14:formula1>
            <xm:f>Status!$B$15:$B$22</xm:f>
          </x14:formula1>
          <xm:sqref>H9:H24</xm:sqref>
        </x14:dataValidation>
        <x14:dataValidation type="list" allowBlank="1" showInputMessage="1" showErrorMessage="1" xr:uid="{477E9492-0757-4148-ABBB-6EC6E83F516C}">
          <x14:formula1>
            <xm:f>Status!$B$3:$B$11</xm:f>
          </x14:formula1>
          <xm:sqref>D9:D24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2"/>
  <sheetViews>
    <sheetView topLeftCell="A6" workbookViewId="0">
      <selection activeCell="C7" sqref="C7"/>
    </sheetView>
  </sheetViews>
  <sheetFormatPr defaultRowHeight="15" x14ac:dyDescent="0.25"/>
  <cols>
    <col min="2" max="2" width="42.28515625" bestFit="1" customWidth="1"/>
    <col min="3" max="3" width="105" bestFit="1" customWidth="1"/>
  </cols>
  <sheetData>
    <row r="2" spans="2:3" ht="16.5" x14ac:dyDescent="0.25">
      <c r="B2" s="22" t="s">
        <v>35</v>
      </c>
      <c r="C2" s="22" t="s">
        <v>40</v>
      </c>
    </row>
    <row r="3" spans="2:3" x14ac:dyDescent="0.25">
      <c r="B3" s="19" t="s">
        <v>36</v>
      </c>
      <c r="C3" s="20" t="s">
        <v>41</v>
      </c>
    </row>
    <row r="4" spans="2:3" x14ac:dyDescent="0.25">
      <c r="B4" s="19" t="s">
        <v>42</v>
      </c>
      <c r="C4" s="20" t="s">
        <v>43</v>
      </c>
    </row>
    <row r="5" spans="2:3" x14ac:dyDescent="0.25">
      <c r="B5" s="19" t="s">
        <v>44</v>
      </c>
      <c r="C5" s="20" t="s">
        <v>45</v>
      </c>
    </row>
    <row r="6" spans="2:3" x14ac:dyDescent="0.25">
      <c r="B6" s="19" t="s">
        <v>37</v>
      </c>
      <c r="C6" s="20" t="s">
        <v>46</v>
      </c>
    </row>
    <row r="7" spans="2:3" x14ac:dyDescent="0.25">
      <c r="B7" s="19" t="s">
        <v>68</v>
      </c>
      <c r="C7" s="20" t="s">
        <v>69</v>
      </c>
    </row>
    <row r="8" spans="2:3" x14ac:dyDescent="0.25">
      <c r="B8" s="19" t="s">
        <v>47</v>
      </c>
      <c r="C8" s="20" t="s">
        <v>48</v>
      </c>
    </row>
    <row r="9" spans="2:3" x14ac:dyDescent="0.25">
      <c r="B9" s="19" t="s">
        <v>38</v>
      </c>
      <c r="C9" s="20" t="s">
        <v>49</v>
      </c>
    </row>
    <row r="10" spans="2:3" x14ac:dyDescent="0.25">
      <c r="B10" s="19" t="s">
        <v>39</v>
      </c>
      <c r="C10" s="20" t="s">
        <v>50</v>
      </c>
    </row>
    <row r="11" spans="2:3" x14ac:dyDescent="0.25">
      <c r="B11" s="19" t="s">
        <v>51</v>
      </c>
      <c r="C11" s="20" t="s">
        <v>52</v>
      </c>
    </row>
    <row r="14" spans="2:3" ht="16.5" x14ac:dyDescent="0.25">
      <c r="B14" s="22" t="s">
        <v>53</v>
      </c>
      <c r="C14" s="22" t="s">
        <v>40</v>
      </c>
    </row>
    <row r="15" spans="2:3" x14ac:dyDescent="0.25">
      <c r="B15" s="21" t="s">
        <v>26</v>
      </c>
      <c r="C15" s="20" t="s">
        <v>54</v>
      </c>
    </row>
    <row r="16" spans="2:3" x14ac:dyDescent="0.25">
      <c r="B16" s="21" t="s">
        <v>55</v>
      </c>
      <c r="C16" s="20" t="s">
        <v>56</v>
      </c>
    </row>
    <row r="17" spans="2:3" x14ac:dyDescent="0.25">
      <c r="B17" s="21" t="s">
        <v>34</v>
      </c>
      <c r="C17" s="20" t="s">
        <v>57</v>
      </c>
    </row>
    <row r="18" spans="2:3" x14ac:dyDescent="0.25">
      <c r="B18" s="21" t="s">
        <v>14</v>
      </c>
      <c r="C18" s="20" t="s">
        <v>58</v>
      </c>
    </row>
    <row r="19" spans="2:3" x14ac:dyDescent="0.25">
      <c r="B19" s="21" t="s">
        <v>27</v>
      </c>
      <c r="C19" s="20" t="s">
        <v>59</v>
      </c>
    </row>
    <row r="20" spans="2:3" x14ac:dyDescent="0.25">
      <c r="B20" s="21" t="s">
        <v>28</v>
      </c>
      <c r="C20" s="20" t="s">
        <v>60</v>
      </c>
    </row>
    <row r="21" spans="2:3" x14ac:dyDescent="0.25">
      <c r="B21" s="21" t="s">
        <v>61</v>
      </c>
      <c r="C21" s="20" t="s">
        <v>62</v>
      </c>
    </row>
    <row r="22" spans="2:3" x14ac:dyDescent="0.25">
      <c r="B22" s="21" t="s">
        <v>33</v>
      </c>
      <c r="C22" s="20" t="s">
        <v>63</v>
      </c>
    </row>
  </sheetData>
  <dataValidations count="1">
    <dataValidation type="list" allowBlank="1" showInputMessage="1" showErrorMessage="1" sqref="D5" xr:uid="{C3522EB4-A780-4446-9BCB-37941B8DED5A}">
      <formula1>$B$3:$B$11</formula1>
    </dataValidation>
  </dataValidation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2E60-F470-4239-9579-7003731F04DB}">
  <dimension ref="A1:A16"/>
  <sheetViews>
    <sheetView workbookViewId="0">
      <selection activeCell="A9" sqref="A9"/>
    </sheetView>
  </sheetViews>
  <sheetFormatPr defaultRowHeight="15" x14ac:dyDescent="0.25"/>
  <cols>
    <col min="1" max="1" width="124.28515625" bestFit="1" customWidth="1"/>
  </cols>
  <sheetData>
    <row r="1" spans="1:1" s="16" customFormat="1" ht="16.5" thickBot="1" x14ac:dyDescent="0.3">
      <c r="A1" s="18" t="s">
        <v>29</v>
      </c>
    </row>
    <row r="2" spans="1:1" s="16" customFormat="1" ht="15.75" x14ac:dyDescent="0.25">
      <c r="A2" s="17"/>
    </row>
    <row r="3" spans="1:1" s="16" customFormat="1" ht="15.75" x14ac:dyDescent="0.25">
      <c r="A3" s="15" t="s">
        <v>66</v>
      </c>
    </row>
    <row r="4" spans="1:1" s="16" customFormat="1" ht="15.75" x14ac:dyDescent="0.25">
      <c r="A4" s="17"/>
    </row>
    <row r="5" spans="1:1" s="16" customFormat="1" ht="15.75" x14ac:dyDescent="0.25">
      <c r="A5" s="17"/>
    </row>
    <row r="6" spans="1:1" s="16" customFormat="1" ht="15.75" x14ac:dyDescent="0.25">
      <c r="A6" s="17"/>
    </row>
    <row r="7" spans="1:1" ht="15.75" x14ac:dyDescent="0.25">
      <c r="A7" s="15" t="s">
        <v>30</v>
      </c>
    </row>
    <row r="8" spans="1:1" ht="15.75" x14ac:dyDescent="0.25">
      <c r="A8" s="15" t="s">
        <v>67</v>
      </c>
    </row>
    <row r="9" spans="1:1" ht="15.75" x14ac:dyDescent="0.25">
      <c r="A9" s="15" t="s">
        <v>65</v>
      </c>
    </row>
    <row r="10" spans="1:1" ht="15.75" x14ac:dyDescent="0.25">
      <c r="A10" s="15" t="s">
        <v>31</v>
      </c>
    </row>
    <row r="11" spans="1:1" ht="15.75" x14ac:dyDescent="0.25">
      <c r="A11" s="15" t="s">
        <v>32</v>
      </c>
    </row>
    <row r="12" spans="1:1" ht="15.75" x14ac:dyDescent="0.25">
      <c r="A12" s="15" t="s">
        <v>64</v>
      </c>
    </row>
    <row r="14" spans="1:1" x14ac:dyDescent="0.25">
      <c r="A14" s="25"/>
    </row>
    <row r="15" spans="1:1" x14ac:dyDescent="0.25">
      <c r="A15" s="25"/>
    </row>
    <row r="16" spans="1:1" x14ac:dyDescent="0.25">
      <c r="A16" s="2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EAF77-577B-4E16-87D9-A064D990516B}">
  <dimension ref="A1:B31"/>
  <sheetViews>
    <sheetView topLeftCell="A16" workbookViewId="0">
      <selection activeCell="B14" sqref="B14"/>
    </sheetView>
  </sheetViews>
  <sheetFormatPr defaultRowHeight="15" x14ac:dyDescent="0.25"/>
  <cols>
    <col min="1" max="1" width="6" bestFit="1" customWidth="1"/>
    <col min="2" max="2" width="39.85546875" bestFit="1" customWidth="1"/>
  </cols>
  <sheetData>
    <row r="1" spans="1:2" x14ac:dyDescent="0.25">
      <c r="A1" s="26" t="s">
        <v>74</v>
      </c>
      <c r="B1" s="26" t="s">
        <v>6</v>
      </c>
    </row>
    <row r="2" spans="1:2" x14ac:dyDescent="0.25">
      <c r="A2" s="26">
        <v>1</v>
      </c>
      <c r="B2" s="27" t="s">
        <v>75</v>
      </c>
    </row>
    <row r="3" spans="1:2" x14ac:dyDescent="0.25">
      <c r="A3" s="26">
        <v>2</v>
      </c>
      <c r="B3" s="27" t="s">
        <v>76</v>
      </c>
    </row>
    <row r="4" spans="1:2" x14ac:dyDescent="0.25">
      <c r="A4" s="26">
        <v>3</v>
      </c>
      <c r="B4" s="27" t="s">
        <v>77</v>
      </c>
    </row>
    <row r="5" spans="1:2" x14ac:dyDescent="0.25">
      <c r="A5" s="26">
        <v>4</v>
      </c>
      <c r="B5" s="27" t="s">
        <v>78</v>
      </c>
    </row>
    <row r="6" spans="1:2" x14ac:dyDescent="0.25">
      <c r="A6" s="26">
        <v>5</v>
      </c>
      <c r="B6" s="27" t="s">
        <v>79</v>
      </c>
    </row>
    <row r="7" spans="1:2" x14ac:dyDescent="0.25">
      <c r="A7" s="26">
        <v>6</v>
      </c>
      <c r="B7" s="27" t="s">
        <v>80</v>
      </c>
    </row>
    <row r="8" spans="1:2" x14ac:dyDescent="0.25">
      <c r="A8" s="26">
        <v>7</v>
      </c>
      <c r="B8" s="27" t="s">
        <v>81</v>
      </c>
    </row>
    <row r="9" spans="1:2" x14ac:dyDescent="0.25">
      <c r="A9" s="26">
        <v>8</v>
      </c>
      <c r="B9" s="27" t="s">
        <v>82</v>
      </c>
    </row>
    <row r="10" spans="1:2" x14ac:dyDescent="0.25">
      <c r="A10" s="26">
        <v>9</v>
      </c>
      <c r="B10" s="27" t="s">
        <v>83</v>
      </c>
    </row>
    <row r="11" spans="1:2" x14ac:dyDescent="0.25">
      <c r="A11" s="26">
        <v>10</v>
      </c>
      <c r="B11" s="27" t="s">
        <v>84</v>
      </c>
    </row>
    <row r="12" spans="1:2" x14ac:dyDescent="0.25">
      <c r="A12" s="26">
        <v>11</v>
      </c>
      <c r="B12" s="27" t="s">
        <v>85</v>
      </c>
    </row>
    <row r="13" spans="1:2" x14ac:dyDescent="0.25">
      <c r="A13" s="26">
        <v>12</v>
      </c>
      <c r="B13" s="27" t="s">
        <v>86</v>
      </c>
    </row>
    <row r="14" spans="1:2" x14ac:dyDescent="0.25">
      <c r="A14" s="26">
        <v>13</v>
      </c>
      <c r="B14" s="27" t="s">
        <v>87</v>
      </c>
    </row>
    <row r="15" spans="1:2" x14ac:dyDescent="0.25">
      <c r="A15" s="26">
        <v>14</v>
      </c>
      <c r="B15" s="27" t="s">
        <v>88</v>
      </c>
    </row>
    <row r="16" spans="1:2" x14ac:dyDescent="0.25">
      <c r="A16" s="26">
        <v>15</v>
      </c>
      <c r="B16" s="27" t="s">
        <v>89</v>
      </c>
    </row>
    <row r="17" spans="1:2" x14ac:dyDescent="0.25">
      <c r="A17" s="26">
        <v>16</v>
      </c>
      <c r="B17" s="27" t="s">
        <v>90</v>
      </c>
    </row>
    <row r="18" spans="1:2" x14ac:dyDescent="0.25">
      <c r="A18" s="26">
        <v>17</v>
      </c>
      <c r="B18" s="27" t="s">
        <v>91</v>
      </c>
    </row>
    <row r="19" spans="1:2" x14ac:dyDescent="0.25">
      <c r="A19" s="26">
        <v>18</v>
      </c>
      <c r="B19" s="27" t="s">
        <v>92</v>
      </c>
    </row>
    <row r="20" spans="1:2" x14ac:dyDescent="0.25">
      <c r="A20" s="26">
        <v>19</v>
      </c>
      <c r="B20" s="27" t="s">
        <v>93</v>
      </c>
    </row>
    <row r="21" spans="1:2" x14ac:dyDescent="0.25">
      <c r="A21" s="26">
        <v>20</v>
      </c>
      <c r="B21" s="27" t="s">
        <v>94</v>
      </c>
    </row>
    <row r="22" spans="1:2" x14ac:dyDescent="0.25">
      <c r="A22" s="26">
        <v>21</v>
      </c>
      <c r="B22" s="27" t="s">
        <v>95</v>
      </c>
    </row>
    <row r="23" spans="1:2" x14ac:dyDescent="0.25">
      <c r="A23" s="26">
        <v>22</v>
      </c>
      <c r="B23" s="27" t="s">
        <v>96</v>
      </c>
    </row>
    <row r="24" spans="1:2" x14ac:dyDescent="0.25">
      <c r="A24" s="26">
        <v>23</v>
      </c>
      <c r="B24" s="27" t="s">
        <v>97</v>
      </c>
    </row>
    <row r="25" spans="1:2" x14ac:dyDescent="0.25">
      <c r="A25" s="26">
        <v>24</v>
      </c>
      <c r="B25" s="27" t="s">
        <v>73</v>
      </c>
    </row>
    <row r="26" spans="1:2" x14ac:dyDescent="0.25">
      <c r="A26" s="26">
        <v>25</v>
      </c>
      <c r="B26" s="27" t="s">
        <v>98</v>
      </c>
    </row>
    <row r="27" spans="1:2" x14ac:dyDescent="0.25">
      <c r="A27" s="26">
        <v>26</v>
      </c>
      <c r="B27" s="27" t="s">
        <v>99</v>
      </c>
    </row>
    <row r="28" spans="1:2" x14ac:dyDescent="0.25">
      <c r="A28" s="26">
        <v>27</v>
      </c>
      <c r="B28" s="27" t="s">
        <v>100</v>
      </c>
    </row>
    <row r="29" spans="1:2" x14ac:dyDescent="0.25">
      <c r="A29" s="26">
        <v>28</v>
      </c>
      <c r="B29" s="27" t="s">
        <v>101</v>
      </c>
    </row>
    <row r="30" spans="1:2" x14ac:dyDescent="0.25">
      <c r="A30" s="26">
        <v>29</v>
      </c>
      <c r="B30" s="27" t="s">
        <v>102</v>
      </c>
    </row>
    <row r="31" spans="1:2" x14ac:dyDescent="0.25">
      <c r="A31" s="26">
        <v>30</v>
      </c>
      <c r="B31" s="27" t="s">
        <v>103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38fc98f-d1dd-4f18-88d1-b56ade8ba642}" enabled="1" method="Standard" siteId="{b61676ce-c0be-4347-9af9-48129a8dcc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WIP</vt:lpstr>
      <vt:lpstr>Status</vt:lpstr>
      <vt:lpstr>Instruction</vt:lpstr>
      <vt:lpstr>Client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Patel</dc:creator>
  <cp:keywords/>
  <dc:description/>
  <cp:lastModifiedBy>Bhavdeep Sureliya</cp:lastModifiedBy>
  <cp:revision/>
  <dcterms:created xsi:type="dcterms:W3CDTF">2015-06-05T18:17:20Z</dcterms:created>
  <dcterms:modified xsi:type="dcterms:W3CDTF">2026-05-04T06:11:03Z</dcterms:modified>
  <cp:category/>
  <cp:contentStatus/>
</cp:coreProperties>
</file>