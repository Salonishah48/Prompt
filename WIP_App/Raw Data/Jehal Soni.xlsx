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Firoz Shaikh\"/>
    </mc:Choice>
  </mc:AlternateContent>
  <xr:revisionPtr revIDLastSave="0" documentId="13_ncr:1_{BA4111B7-4D9C-4BF8-8056-B023AAC271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26" i="1"/>
  <c r="I25" i="1"/>
  <c r="I24" i="1"/>
  <c r="I28" i="1"/>
  <c r="J30" i="1"/>
  <c r="I35" i="1"/>
  <c r="L32" i="1"/>
  <c r="L30" i="1"/>
  <c r="I9" i="1"/>
  <c r="I10" i="1"/>
  <c r="I11" i="1"/>
  <c r="I12" i="1"/>
  <c r="I13" i="1"/>
  <c r="I14" i="1"/>
  <c r="I15" i="1"/>
  <c r="I16" i="1"/>
  <c r="I17" i="1"/>
  <c r="I18" i="1"/>
  <c r="L21" i="1"/>
  <c r="K21" i="1"/>
  <c r="J21" i="1"/>
  <c r="I30" i="1" l="1"/>
  <c r="I32" i="1" s="1"/>
  <c r="I21" i="1"/>
  <c r="I36" i="1" l="1"/>
  <c r="J32" i="1"/>
  <c r="J36" i="1" s="1"/>
  <c r="N21" i="1"/>
  <c r="M21" i="1"/>
  <c r="N30" i="1"/>
  <c r="M30" i="1"/>
  <c r="K30" i="1"/>
  <c r="K32" i="1" s="1"/>
  <c r="K6" i="1"/>
  <c r="L6" i="1" s="1"/>
  <c r="M6" i="1" s="1"/>
  <c r="L36" i="1" l="1"/>
  <c r="M32" i="1"/>
  <c r="M36" i="1" s="1"/>
  <c r="N32" i="1"/>
  <c r="K36" i="1" l="1"/>
</calcChain>
</file>

<file path=xl/sharedStrings.xml><?xml version="1.0" encoding="utf-8"?>
<sst xmlns="http://schemas.openxmlformats.org/spreadsheetml/2006/main" count="134" uniqueCount="97">
  <si>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</si>
  <si>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</si>
  <si>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</si>
  <si>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</si>
  <si>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</si>
  <si>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</si>
  <si>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</si>
  <si>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</si>
  <si>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</si>
  <si>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</si>
  <si>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</si>
  <si>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</si>
  <si>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</si>
  <si>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</si>
  <si>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</si>
  <si>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</si>
  <si>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</si>
  <si>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</si>
  <si>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</si>
  <si>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</si>
  <si>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</si>
  <si>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</si>
  <si>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</si>
  <si>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</si>
  <si>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</si>
  <si>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</si>
  <si>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</si>
  <si>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</si>
  <si>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</si>
  <si>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</si>
  <si>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</si>
  <si>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</si>
  <si>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</si>
  <si>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</si>
  <si>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</si>
  <si>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</si>
  <si>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</si>
  <si>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</si>
  <si>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</si>
  <si>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</si>
  <si>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</si>
  <si>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</si>
  <si>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</si>
  <si>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</si>
  <si>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</si>
  <si>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</si>
  <si>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</si>
  <si>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</si>
  <si>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</si>
  <si>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</si>
  <si>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</si>
  <si>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</si>
  <si>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</si>
  <si>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</si>
  <si>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</si>
  <si>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</si>
  <si>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</si>
  <si>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</si>
  <si>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</si>
  <si>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</si>
  <si>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</si>
  <si>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</si>
  <si>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</si>
  <si>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</si>
  <si>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</si>
  <si>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</si>
  <si>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</si>
  <si>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</si>
  <si>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</si>
  <si>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</si>
  <si>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</si>
  <si>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</si>
  <si>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</si>
  <si>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lient Meetings and Communication</t>
  </si>
  <si>
    <t>Veer Corporation INC</t>
  </si>
  <si>
    <t>Matthew Blumberg CPA LLC</t>
  </si>
  <si>
    <t>Prestige Strategy &amp; Consulting Inc</t>
  </si>
  <si>
    <t>Mission Consulting Group LLC</t>
  </si>
  <si>
    <t>Veer - USA</t>
  </si>
  <si>
    <t>Clark &amp; Sons Inc.</t>
  </si>
  <si>
    <t>Clark &amp; Sons</t>
  </si>
  <si>
    <t>Learning &amp; Development</t>
  </si>
  <si>
    <t>Kanak Export</t>
  </si>
  <si>
    <t>Jehal Soni</t>
  </si>
  <si>
    <t>Firoz Shaikh</t>
  </si>
  <si>
    <t>Reciprocity Accounting LLC</t>
  </si>
  <si>
    <t>Davis Dental</t>
  </si>
  <si>
    <t>SPRLINE CONSULTANCY PRIVATE LIMITED</t>
  </si>
  <si>
    <t>Prints and Signs International LLC</t>
  </si>
  <si>
    <t>Palma Financial</t>
  </si>
  <si>
    <t>Bay Business Group LLC</t>
  </si>
  <si>
    <t>Matthew Blumberg CPA PLLC</t>
  </si>
  <si>
    <t>Kanak Naturals, LLC</t>
  </si>
  <si>
    <t>TSC Enterprise, LLC</t>
  </si>
  <si>
    <t>Kanak Pakway</t>
  </si>
  <si>
    <t>United States Gold Bureau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</si>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</sst>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20" fontId="0" fillId="0" borderId="0" xfId="0" applyNumberFormat="1"/>
    <xf numFmtId="20" fontId="1" fillId="0" borderId="0" xfId="0" applyNumberFormat="1" applyFont="1"/>
    <xf numFmtId="43" fontId="1" fillId="0" borderId="0" xfId="0" applyNumberFormat="1" applyFont="1"/>
    <xf numFmtId="43" fontId="0" fillId="0" borderId="0" xfId="0" applyNumberFormat="1"/>
    <xf numFmtId="0" fontId="0" fillId="0" borderId="4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zoomScaleNormal="100" workbookViewId="0">
      <pane xSplit="2" ySplit="7" topLeftCell="E8" activePane="bottomRight" state="frozen"/>
      <selection pane="topRight" activeCell="C1" sqref="C1"/>
      <selection pane="bottomLeft" activeCell="A7" sqref="A7"/>
      <selection pane="bottomRight"/>
    </sheetView>
  </sheetViews>
  <sheetFormatPr defaultRowHeight="15" x14ac:dyDescent="0.25"/>
  <cols>
    <col min="1" max="1" width="24.5703125" bestFit="1" customWidth="1"/>
    <col min="2" max="3" width="25.140625" customWidth="1"/>
    <col min="4" max="4" width="41.85546875" bestFit="1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10" t="s">
        <v>83</v>
      </c>
      <c r="C2" s="10"/>
      <c r="F2" s="28"/>
      <c r="H2" s="1"/>
      <c r="I2" s="30"/>
      <c r="J2" s="30"/>
      <c r="K2" s="30"/>
      <c r="L2" s="30"/>
      <c r="M2" s="11"/>
    </row>
    <row r="3" spans="1:14" x14ac:dyDescent="0.25">
      <c r="A3" s="1" t="s">
        <v>2</v>
      </c>
      <c r="B3" s="10" t="s">
        <v>96</v>
      </c>
      <c r="C3" s="10"/>
      <c r="H3" s="29"/>
      <c r="I3" s="30"/>
      <c r="J3" s="30"/>
      <c r="K3" s="30"/>
      <c r="L3" s="30"/>
      <c r="M3" s="11"/>
    </row>
    <row r="4" spans="1:14" x14ac:dyDescent="0.25">
      <c r="A4" s="1" t="s">
        <v>3</v>
      </c>
      <c r="B4" s="10" t="s">
        <v>84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4</v>
      </c>
      <c r="J6" s="27">
        <v>46146</v>
      </c>
      <c r="K6" s="27">
        <f>J6+7</f>
        <v>46153</v>
      </c>
      <c r="L6" s="2">
        <f>K6+7</f>
        <v>46160</v>
      </c>
      <c r="M6" s="2">
        <f>L6+7</f>
        <v>46167</v>
      </c>
      <c r="N6" t="s">
        <v>5</v>
      </c>
    </row>
    <row r="7" spans="1:14" ht="30" x14ac:dyDescent="0.25">
      <c r="A7" s="3" t="s">
        <v>6</v>
      </c>
      <c r="B7" s="3" t="s">
        <v>7</v>
      </c>
      <c r="C7" s="3" t="s">
        <v>8</v>
      </c>
      <c r="D7" s="24" t="s">
        <v>40</v>
      </c>
      <c r="E7" s="3" t="s">
        <v>9</v>
      </c>
      <c r="F7" s="3" t="s">
        <v>10</v>
      </c>
      <c r="G7" s="3" t="s">
        <v>11</v>
      </c>
      <c r="H7" s="24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4" t="s">
        <v>5</v>
      </c>
    </row>
    <row r="8" spans="1:14" x14ac:dyDescent="0.25">
      <c r="A8" s="7" t="s">
        <v>18</v>
      </c>
      <c r="B8" s="5"/>
      <c r="C8" s="5"/>
      <c r="D8" s="24"/>
      <c r="E8" s="5"/>
      <c r="F8" s="5"/>
      <c r="G8" s="5"/>
      <c r="H8" s="24"/>
      <c r="I8" s="5"/>
      <c r="J8" s="5"/>
      <c r="K8" s="5"/>
      <c r="L8" s="5"/>
      <c r="M8" s="5"/>
      <c r="N8" s="6"/>
    </row>
    <row r="9" spans="1:14" x14ac:dyDescent="0.25">
      <c r="A9">
        <v>1</v>
      </c>
      <c r="B9" t="s">
        <v>74</v>
      </c>
      <c r="C9" t="s">
        <v>78</v>
      </c>
      <c r="D9" s="25" t="s">
        <v>52</v>
      </c>
      <c r="E9" s="2">
        <v>46118</v>
      </c>
      <c r="F9" s="2"/>
      <c r="G9" s="2"/>
      <c r="H9" s="25" t="s">
        <v>39</v>
      </c>
      <c r="I9" s="31">
        <f t="shared" ref="I9:I15" si="0">SUM(J9:M9)</f>
        <v>0</v>
      </c>
      <c r="J9" s="14"/>
      <c r="K9" s="14"/>
      <c r="L9" s="14"/>
      <c r="M9" s="14"/>
    </row>
    <row r="10" spans="1:14" x14ac:dyDescent="0.25">
      <c r="A10">
        <v>2</v>
      </c>
      <c r="B10" t="s">
        <v>74</v>
      </c>
      <c r="C10" t="s">
        <v>78</v>
      </c>
      <c r="D10" s="25" t="s">
        <v>42</v>
      </c>
      <c r="E10" s="2">
        <v>46118</v>
      </c>
      <c r="F10" s="2"/>
      <c r="G10" s="2"/>
      <c r="H10" s="25" t="s">
        <v>39</v>
      </c>
      <c r="I10" s="31">
        <f t="shared" si="0"/>
        <v>0</v>
      </c>
      <c r="J10" s="14"/>
      <c r="K10" s="14"/>
      <c r="L10" s="14"/>
      <c r="M10" s="14"/>
    </row>
    <row r="11" spans="1:14" x14ac:dyDescent="0.25">
      <c r="A11">
        <v>3</v>
      </c>
      <c r="B11" t="s">
        <v>75</v>
      </c>
      <c r="C11" t="s">
        <v>76</v>
      </c>
      <c r="D11" s="25" t="s">
        <v>52</v>
      </c>
      <c r="E11" s="2">
        <v>46118</v>
      </c>
      <c r="F11" s="2"/>
      <c r="G11" s="2"/>
      <c r="H11" s="25" t="s">
        <v>33</v>
      </c>
      <c r="I11" s="31">
        <f t="shared" si="0"/>
        <v>0</v>
      </c>
      <c r="J11" s="14"/>
      <c r="K11" s="14"/>
      <c r="L11" s="14"/>
      <c r="M11" s="14"/>
    </row>
    <row r="12" spans="1:14" x14ac:dyDescent="0.25">
      <c r="A12">
        <v>4</v>
      </c>
      <c r="B12" t="s">
        <v>75</v>
      </c>
      <c r="C12" t="s">
        <v>77</v>
      </c>
      <c r="D12" s="25" t="s">
        <v>52</v>
      </c>
      <c r="E12" s="2">
        <v>46118</v>
      </c>
      <c r="F12" s="2"/>
      <c r="G12" s="2"/>
      <c r="H12" s="25" t="s">
        <v>33</v>
      </c>
      <c r="I12" s="31">
        <f t="shared" si="0"/>
        <v>0</v>
      </c>
      <c r="J12" s="14"/>
      <c r="K12" s="14"/>
      <c r="L12" s="14"/>
      <c r="M12" s="14"/>
    </row>
    <row r="13" spans="1:14" x14ac:dyDescent="0.25">
      <c r="A13">
        <v>5</v>
      </c>
      <c r="B13" t="s">
        <v>79</v>
      </c>
      <c r="C13" t="s">
        <v>80</v>
      </c>
      <c r="D13" s="25" t="s">
        <v>52</v>
      </c>
      <c r="E13" s="2">
        <v>46118</v>
      </c>
      <c r="F13" s="2"/>
      <c r="G13" s="2"/>
      <c r="H13" s="25" t="s">
        <v>33</v>
      </c>
      <c r="I13" s="31">
        <f t="shared" si="0"/>
        <v>0</v>
      </c>
      <c r="J13" s="14"/>
      <c r="K13" s="14"/>
      <c r="L13" s="14"/>
      <c r="M13" s="14"/>
    </row>
    <row r="14" spans="1:14" x14ac:dyDescent="0.25">
      <c r="A14">
        <v>6</v>
      </c>
      <c r="B14" t="s">
        <v>74</v>
      </c>
      <c r="C14" t="s">
        <v>78</v>
      </c>
      <c r="D14" s="25" t="s">
        <v>42</v>
      </c>
      <c r="E14" s="2">
        <v>46118</v>
      </c>
      <c r="F14" s="2"/>
      <c r="G14" s="2"/>
      <c r="H14" s="25" t="s">
        <v>39</v>
      </c>
      <c r="I14" s="31">
        <f t="shared" si="0"/>
        <v>0</v>
      </c>
      <c r="J14" s="14"/>
      <c r="K14" s="14"/>
      <c r="L14" s="14"/>
      <c r="M14" s="14"/>
    </row>
    <row r="15" spans="1:14" x14ac:dyDescent="0.25">
      <c r="A15">
        <v>7</v>
      </c>
      <c r="B15" t="s">
        <v>79</v>
      </c>
      <c r="C15" t="s">
        <v>80</v>
      </c>
      <c r="D15" s="25" t="s">
        <v>52</v>
      </c>
      <c r="E15" s="2">
        <v>46118</v>
      </c>
      <c r="F15" s="2"/>
      <c r="G15" s="2"/>
      <c r="H15" s="25" t="s">
        <v>39</v>
      </c>
      <c r="I15" s="31">
        <f t="shared" si="0"/>
        <v>0</v>
      </c>
      <c r="J15" s="14"/>
      <c r="K15" s="14"/>
      <c r="L15" s="14"/>
      <c r="M15" s="14"/>
    </row>
    <row r="16" spans="1:14" x14ac:dyDescent="0.25">
      <c r="A16">
        <v>8</v>
      </c>
      <c r="B16" t="s">
        <v>85</v>
      </c>
      <c r="C16" t="s">
        <v>86</v>
      </c>
      <c r="D16" s="25" t="s">
        <v>49</v>
      </c>
      <c r="E16" s="2">
        <v>46118</v>
      </c>
      <c r="F16" s="2"/>
      <c r="G16" s="2"/>
      <c r="H16" s="25" t="s">
        <v>39</v>
      </c>
      <c r="I16" s="31">
        <f>SUM(J16:M16)</f>
        <v>48</v>
      </c>
      <c r="J16" s="14">
        <v>12</v>
      </c>
      <c r="K16" s="14">
        <v>12</v>
      </c>
      <c r="L16" s="14">
        <v>12</v>
      </c>
      <c r="M16" s="14">
        <v>12</v>
      </c>
    </row>
    <row r="17" spans="1:14" x14ac:dyDescent="0.25">
      <c r="A17">
        <v>9</v>
      </c>
      <c r="B17" t="s">
        <v>82</v>
      </c>
      <c r="C17" t="s">
        <v>82</v>
      </c>
      <c r="D17" s="25" t="s">
        <v>52</v>
      </c>
      <c r="E17" s="2">
        <v>46118</v>
      </c>
      <c r="F17" s="2"/>
      <c r="G17" s="2"/>
      <c r="H17" s="25" t="s">
        <v>39</v>
      </c>
      <c r="I17" s="31">
        <f t="shared" ref="I17:I18" si="1">SUM(J17:M17)</f>
        <v>0</v>
      </c>
      <c r="K17" s="14"/>
      <c r="L17" s="14"/>
    </row>
    <row r="18" spans="1:14" x14ac:dyDescent="0.25">
      <c r="A18">
        <v>10</v>
      </c>
      <c r="B18" t="s">
        <v>95</v>
      </c>
      <c r="C18" t="s">
        <v>95</v>
      </c>
      <c r="D18" s="25" t="s">
        <v>42</v>
      </c>
      <c r="E18" s="2">
        <v>46118</v>
      </c>
      <c r="F18" s="2"/>
      <c r="G18" s="2"/>
      <c r="H18" s="25" t="s">
        <v>39</v>
      </c>
      <c r="I18" s="31">
        <f t="shared" si="1"/>
        <v>80</v>
      </c>
      <c r="J18" s="14">
        <v>20</v>
      </c>
      <c r="K18" s="14">
        <v>20</v>
      </c>
      <c r="L18" s="14">
        <v>20</v>
      </c>
      <c r="M18" s="14">
        <v>20</v>
      </c>
    </row>
    <row r="19" spans="1:14" x14ac:dyDescent="0.25">
      <c r="D19" s="25"/>
      <c r="H19" s="25"/>
    </row>
    <row r="20" spans="1:14" x14ac:dyDescent="0.25">
      <c r="D20" s="25"/>
      <c r="H20" s="25"/>
    </row>
    <row r="21" spans="1:14" ht="15.75" thickBot="1" x14ac:dyDescent="0.3">
      <c r="A21" s="13" t="s">
        <v>20</v>
      </c>
      <c r="B21" s="9"/>
      <c r="C21" s="9"/>
      <c r="D21" s="9"/>
      <c r="E21" s="9"/>
      <c r="F21" s="9"/>
      <c r="G21" s="9"/>
      <c r="H21" s="9"/>
      <c r="I21" s="15">
        <f t="shared" ref="I21:N21" si="2">SUM(I8:I20)</f>
        <v>128</v>
      </c>
      <c r="J21" s="15">
        <f>SUM(J8:J20)</f>
        <v>32</v>
      </c>
      <c r="K21" s="15">
        <f>SUM(K8:K20)</f>
        <v>32</v>
      </c>
      <c r="L21" s="15">
        <f>SUM(L8:L20)</f>
        <v>32</v>
      </c>
      <c r="M21" s="15">
        <f t="shared" si="2"/>
        <v>32</v>
      </c>
      <c r="N21" s="15">
        <f t="shared" si="2"/>
        <v>0</v>
      </c>
    </row>
    <row r="22" spans="1:14" ht="15.75" thickTop="1" x14ac:dyDescent="0.25">
      <c r="I22" s="14"/>
      <c r="J22" s="14"/>
      <c r="K22" s="14"/>
      <c r="L22" s="14"/>
      <c r="M22" s="14"/>
      <c r="N22" s="14"/>
    </row>
    <row r="23" spans="1:14" x14ac:dyDescent="0.25">
      <c r="A23" s="1" t="s">
        <v>21</v>
      </c>
      <c r="I23" s="14"/>
      <c r="J23" s="14"/>
      <c r="K23" s="14"/>
      <c r="L23" s="14"/>
      <c r="M23" s="14"/>
      <c r="N23" s="14"/>
    </row>
    <row r="24" spans="1:14" x14ac:dyDescent="0.25">
      <c r="B24" t="s">
        <v>22</v>
      </c>
      <c r="D24" s="25"/>
      <c r="I24" s="14">
        <f t="shared" ref="I24:I27" si="3">SUM(J24:N24)</f>
        <v>0</v>
      </c>
      <c r="J24" s="14"/>
      <c r="K24" s="14">
        <v>0</v>
      </c>
      <c r="L24" s="14">
        <v>0</v>
      </c>
      <c r="M24" s="14">
        <v>0</v>
      </c>
      <c r="N24" s="14"/>
    </row>
    <row r="25" spans="1:14" x14ac:dyDescent="0.25">
      <c r="B25" t="s">
        <v>23</v>
      </c>
      <c r="D25" s="25"/>
      <c r="I25" s="14">
        <f t="shared" si="3"/>
        <v>0</v>
      </c>
      <c r="J25" s="14">
        <v>0</v>
      </c>
      <c r="K25" s="14"/>
      <c r="L25" s="14"/>
      <c r="M25" s="14"/>
      <c r="N25" s="14"/>
    </row>
    <row r="26" spans="1:14" x14ac:dyDescent="0.25">
      <c r="B26" t="s">
        <v>24</v>
      </c>
      <c r="C26" t="s">
        <v>81</v>
      </c>
      <c r="D26" s="25"/>
      <c r="I26" s="14">
        <f t="shared" si="3"/>
        <v>16</v>
      </c>
      <c r="J26" s="14">
        <v>8</v>
      </c>
      <c r="K26" s="14">
        <v>8</v>
      </c>
      <c r="L26" s="14">
        <v>0</v>
      </c>
      <c r="M26" s="14"/>
      <c r="N26" s="14"/>
    </row>
    <row r="27" spans="1:14" x14ac:dyDescent="0.25">
      <c r="B27" t="s">
        <v>25</v>
      </c>
      <c r="D27" s="25"/>
      <c r="I27" s="14">
        <f t="shared" si="3"/>
        <v>0</v>
      </c>
      <c r="J27" s="14">
        <v>0</v>
      </c>
      <c r="K27" s="14"/>
      <c r="L27" s="14"/>
      <c r="M27" s="14"/>
      <c r="N27" s="14"/>
    </row>
    <row r="28" spans="1:14" x14ac:dyDescent="0.25">
      <c r="B28" t="s">
        <v>26</v>
      </c>
      <c r="D28" s="25"/>
      <c r="I28" s="14">
        <f>SUM(J28:N28)</f>
        <v>16</v>
      </c>
      <c r="J28" s="14">
        <v>0</v>
      </c>
      <c r="K28" s="14"/>
      <c r="L28" s="14">
        <v>8</v>
      </c>
      <c r="M28" s="14">
        <v>8</v>
      </c>
      <c r="N28" s="14"/>
    </row>
    <row r="30" spans="1:14" ht="15.75" thickBot="1" x14ac:dyDescent="0.3">
      <c r="A30" s="13" t="s">
        <v>27</v>
      </c>
      <c r="B30" s="9"/>
      <c r="C30" s="9"/>
      <c r="D30" s="9"/>
      <c r="E30" s="9"/>
      <c r="F30" s="9"/>
      <c r="G30" s="9"/>
      <c r="H30" s="9"/>
      <c r="I30" s="15">
        <f>SUM(I24:I29)</f>
        <v>32</v>
      </c>
      <c r="J30" s="15">
        <f>SUM(J24:J29)</f>
        <v>8</v>
      </c>
      <c r="K30" s="15">
        <f t="shared" ref="K30:N30" si="4">SUM(K24:K29)</f>
        <v>8</v>
      </c>
      <c r="L30" s="15">
        <f>SUM(L24:L29)</f>
        <v>8</v>
      </c>
      <c r="M30" s="15">
        <f t="shared" si="4"/>
        <v>8</v>
      </c>
      <c r="N30" s="15">
        <f t="shared" si="4"/>
        <v>0</v>
      </c>
    </row>
    <row r="31" spans="1:14" ht="15.75" thickTop="1" x14ac:dyDescent="0.25">
      <c r="I31" s="14"/>
      <c r="J31" s="14"/>
      <c r="K31" s="14"/>
      <c r="L31" s="14"/>
      <c r="M31" s="14"/>
      <c r="N31" s="14"/>
    </row>
    <row r="32" spans="1:14" ht="15.75" thickBot="1" x14ac:dyDescent="0.3">
      <c r="A32" s="13" t="s">
        <v>28</v>
      </c>
      <c r="B32" s="9"/>
      <c r="C32" s="9"/>
      <c r="D32" s="9"/>
      <c r="E32" s="9"/>
      <c r="F32" s="9"/>
      <c r="G32" s="9"/>
      <c r="H32" s="9"/>
      <c r="I32" s="15">
        <f>+I30+I21</f>
        <v>160</v>
      </c>
      <c r="J32" s="15">
        <f>+J30+J21</f>
        <v>40</v>
      </c>
      <c r="K32" s="15">
        <f>+K30+K21</f>
        <v>40</v>
      </c>
      <c r="L32" s="15">
        <f>+L30+L21</f>
        <v>40</v>
      </c>
      <c r="M32" s="15">
        <f t="shared" ref="M32:N32" si="5">+M30+M21</f>
        <v>40</v>
      </c>
      <c r="N32" s="15">
        <f t="shared" si="5"/>
        <v>0</v>
      </c>
    </row>
    <row r="33" spans="1:14" ht="15.75" thickTop="1" x14ac:dyDescent="0.25"/>
    <row r="35" spans="1:14" ht="15.75" thickBot="1" x14ac:dyDescent="0.3">
      <c r="A35" s="13" t="s">
        <v>29</v>
      </c>
      <c r="B35" s="9"/>
      <c r="C35" s="9"/>
      <c r="D35" s="9"/>
      <c r="E35" s="9"/>
      <c r="F35" s="9"/>
      <c r="G35" s="9"/>
      <c r="H35" s="9"/>
      <c r="I35" s="15">
        <f>SUM(J35:M35)</f>
        <v>160</v>
      </c>
      <c r="J35" s="15">
        <v>40</v>
      </c>
      <c r="K35" s="15">
        <v>40</v>
      </c>
      <c r="L35" s="15">
        <v>40</v>
      </c>
      <c r="M35" s="15">
        <v>40</v>
      </c>
      <c r="N35" s="15"/>
    </row>
    <row r="36" spans="1:14" ht="16.5" thickTop="1" thickBot="1" x14ac:dyDescent="0.3">
      <c r="A36" s="13" t="s">
        <v>30</v>
      </c>
      <c r="B36" s="9"/>
      <c r="C36" s="9"/>
      <c r="D36" s="9"/>
      <c r="E36" s="9"/>
      <c r="F36" s="9"/>
      <c r="G36" s="9"/>
      <c r="H36" s="9"/>
      <c r="I36" s="15">
        <f>+I35-I32</f>
        <v>0</v>
      </c>
      <c r="J36" s="15">
        <f>+J35-J32</f>
        <v>0</v>
      </c>
      <c r="K36" s="15">
        <f t="shared" ref="K36:M36" si="6">+K35-K32</f>
        <v>0</v>
      </c>
      <c r="L36" s="15">
        <f t="shared" si="6"/>
        <v>0</v>
      </c>
      <c r="M36" s="15">
        <f t="shared" si="6"/>
        <v>0</v>
      </c>
      <c r="N36" s="15"/>
    </row>
    <row r="37" spans="1:14" ht="15.75" thickTop="1" x14ac:dyDescent="0.25"/>
  </sheetData>
  <protectedRanges>
    <protectedRange sqref="A9:A12 A29:XFD29 A8:XFD8 F11 G9:H11 A24:C28 A13:C13 A14:A20 F12:H15 I9:I15 B15:C20 E19:XFD20 F16:I18 J9:XFD18 E9:E18 E24:XFD28" name="Range1"/>
    <protectedRange sqref="B9:C10 B14:C14" name="Range1_1"/>
    <protectedRange sqref="D24:D28 D9:D20" name="Range1_2"/>
    <protectedRange sqref="F9:F10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77E9492-0757-4148-ABBB-6EC6E83F516C}">
          <x14:formula1>
            <xm:f>Status!$B$3:$B$10</xm:f>
          </x14:formula1>
          <xm:sqref>D24:D28 D9:D20</xm:sqref>
        </x14:dataValidation>
        <x14:dataValidation type="list" allowBlank="1" showInputMessage="1" showErrorMessage="1" xr:uid="{74BA8BDB-53D6-49C3-ABCC-E46D7EAA39F8}">
          <x14:formula1>
            <xm:f>Status!$B$15:$B$22</xm:f>
          </x14:formula1>
          <xm:sqref>H9:H20</xm:sqref>
        </x14:dataValidation>
        <x14:dataValidation type="list" allowBlank="1" showInputMessage="1" showErrorMessage="1" xr:uid="{07D2B207-DD51-4088-A7DE-9D353A05673F}">
          <x14:formula1>
            <xm:f>Status!$B$26:$B$37</xm:f>
          </x14:formula1>
          <xm:sqref>B7:B17 B19:B1048576</xm:sqref>
        </x14:dataValidation>
        <x14:dataValidation type="list" allowBlank="1" showInputMessage="1" showErrorMessage="1" xr:uid="{9B9CC31B-0568-47D8-8736-AE412ECCDD4F}">
          <x14:formula1>
            <xm:f>Status!$B$26:$B$38</xm:f>
          </x14:formula1>
          <xm:sqref>B18:C18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8"/>
  <sheetViews>
    <sheetView topLeftCell="A24" workbookViewId="0">
      <selection activeCell="B38" sqref="B38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40</v>
      </c>
      <c r="C2" s="23" t="s">
        <v>45</v>
      </c>
    </row>
    <row r="3" spans="2:3" x14ac:dyDescent="0.25">
      <c r="B3" s="20" t="s">
        <v>41</v>
      </c>
      <c r="C3" s="21" t="s">
        <v>46</v>
      </c>
    </row>
    <row r="4" spans="2:3" x14ac:dyDescent="0.25">
      <c r="B4" s="20" t="s">
        <v>47</v>
      </c>
      <c r="C4" s="21" t="s">
        <v>48</v>
      </c>
    </row>
    <row r="5" spans="2:3" x14ac:dyDescent="0.25">
      <c r="B5" s="20" t="s">
        <v>49</v>
      </c>
      <c r="C5" s="21" t="s">
        <v>50</v>
      </c>
    </row>
    <row r="6" spans="2:3" x14ac:dyDescent="0.25">
      <c r="B6" s="20" t="s">
        <v>42</v>
      </c>
      <c r="C6" s="21" t="s">
        <v>51</v>
      </c>
    </row>
    <row r="7" spans="2:3" x14ac:dyDescent="0.25">
      <c r="B7" s="20" t="s">
        <v>52</v>
      </c>
      <c r="C7" s="21" t="s">
        <v>53</v>
      </c>
    </row>
    <row r="8" spans="2:3" x14ac:dyDescent="0.25">
      <c r="B8" s="20" t="s">
        <v>43</v>
      </c>
      <c r="C8" s="21" t="s">
        <v>54</v>
      </c>
    </row>
    <row r="9" spans="2:3" x14ac:dyDescent="0.25">
      <c r="B9" s="20" t="s">
        <v>44</v>
      </c>
      <c r="C9" s="21" t="s">
        <v>55</v>
      </c>
    </row>
    <row r="10" spans="2:3" x14ac:dyDescent="0.25">
      <c r="B10" s="20" t="s">
        <v>56</v>
      </c>
      <c r="C10" s="21" t="s">
        <v>57</v>
      </c>
    </row>
    <row r="11" spans="2:3" x14ac:dyDescent="0.25">
      <c r="B11" s="20" t="s">
        <v>73</v>
      </c>
      <c r="C11" s="21"/>
    </row>
    <row r="14" spans="2:3" ht="16.5" x14ac:dyDescent="0.25">
      <c r="B14" s="23" t="s">
        <v>58</v>
      </c>
      <c r="C14" s="23" t="s">
        <v>45</v>
      </c>
    </row>
    <row r="15" spans="2:3" x14ac:dyDescent="0.25">
      <c r="B15" s="22" t="s">
        <v>31</v>
      </c>
      <c r="C15" s="21" t="s">
        <v>59</v>
      </c>
    </row>
    <row r="16" spans="2:3" x14ac:dyDescent="0.25">
      <c r="B16" s="22" t="s">
        <v>60</v>
      </c>
      <c r="C16" s="21" t="s">
        <v>61</v>
      </c>
    </row>
    <row r="17" spans="2:3" x14ac:dyDescent="0.25">
      <c r="B17" s="22" t="s">
        <v>39</v>
      </c>
      <c r="C17" s="21" t="s">
        <v>62</v>
      </c>
    </row>
    <row r="18" spans="2:3" x14ac:dyDescent="0.25">
      <c r="B18" s="22" t="s">
        <v>19</v>
      </c>
      <c r="C18" s="21" t="s">
        <v>63</v>
      </c>
    </row>
    <row r="19" spans="2:3" x14ac:dyDescent="0.25">
      <c r="B19" s="22" t="s">
        <v>32</v>
      </c>
      <c r="C19" s="21" t="s">
        <v>64</v>
      </c>
    </row>
    <row r="20" spans="2:3" x14ac:dyDescent="0.25">
      <c r="B20" s="22" t="s">
        <v>33</v>
      </c>
      <c r="C20" s="21" t="s">
        <v>65</v>
      </c>
    </row>
    <row r="21" spans="2:3" x14ac:dyDescent="0.25">
      <c r="B21" s="22" t="s">
        <v>66</v>
      </c>
      <c r="C21" s="21" t="s">
        <v>67</v>
      </c>
    </row>
    <row r="22" spans="2:3" x14ac:dyDescent="0.25">
      <c r="B22" s="22" t="s">
        <v>38</v>
      </c>
      <c r="C22" s="21" t="s">
        <v>68</v>
      </c>
    </row>
    <row r="26" spans="2:3" x14ac:dyDescent="0.25">
      <c r="B26" s="20" t="s">
        <v>7</v>
      </c>
    </row>
    <row r="27" spans="2:3" x14ac:dyDescent="0.25">
      <c r="B27" s="21" t="s">
        <v>87</v>
      </c>
    </row>
    <row r="28" spans="2:3" x14ac:dyDescent="0.25">
      <c r="B28" s="21" t="s">
        <v>88</v>
      </c>
    </row>
    <row r="29" spans="2:3" x14ac:dyDescent="0.25">
      <c r="B29" s="21" t="s">
        <v>89</v>
      </c>
    </row>
    <row r="30" spans="2:3" x14ac:dyDescent="0.25">
      <c r="B30" s="21" t="s">
        <v>90</v>
      </c>
    </row>
    <row r="31" spans="2:3" x14ac:dyDescent="0.25">
      <c r="B31" s="21" t="s">
        <v>74</v>
      </c>
    </row>
    <row r="32" spans="2:3" x14ac:dyDescent="0.25">
      <c r="B32" s="21" t="s">
        <v>79</v>
      </c>
    </row>
    <row r="33" spans="2:2" x14ac:dyDescent="0.25">
      <c r="B33" s="21" t="s">
        <v>91</v>
      </c>
    </row>
    <row r="34" spans="2:2" x14ac:dyDescent="0.25">
      <c r="B34" s="21" t="s">
        <v>92</v>
      </c>
    </row>
    <row r="35" spans="2:2" x14ac:dyDescent="0.25">
      <c r="B35" s="21" t="s">
        <v>82</v>
      </c>
    </row>
    <row r="36" spans="2:2" x14ac:dyDescent="0.25">
      <c r="B36" s="21" t="s">
        <v>93</v>
      </c>
    </row>
    <row r="37" spans="2:2" x14ac:dyDescent="0.25">
      <c r="B37" s="21" t="s">
        <v>94</v>
      </c>
    </row>
    <row r="38" spans="2:2" x14ac:dyDescent="0.25">
      <c r="B38" s="32" t="s">
        <v>95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5" sqref="A5"/>
    </sheetView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34</v>
      </c>
    </row>
    <row r="2" spans="1:1" s="17" customFormat="1" ht="15.75" x14ac:dyDescent="0.25">
      <c r="A2" s="18"/>
    </row>
    <row r="3" spans="1:1" s="17" customFormat="1" ht="15.75" x14ac:dyDescent="0.25">
      <c r="A3" s="16" t="s">
        <v>71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35</v>
      </c>
    </row>
    <row r="8" spans="1:1" ht="15.75" x14ac:dyDescent="0.25">
      <c r="A8" s="16" t="s">
        <v>72</v>
      </c>
    </row>
    <row r="9" spans="1:1" ht="15.75" x14ac:dyDescent="0.25">
      <c r="A9" s="16" t="s">
        <v>70</v>
      </c>
    </row>
    <row r="10" spans="1:1" ht="15.75" x14ac:dyDescent="0.25">
      <c r="A10" s="16" t="s">
        <v>36</v>
      </c>
    </row>
    <row r="11" spans="1:1" ht="15.75" x14ac:dyDescent="0.25">
      <c r="A11" s="16" t="s">
        <v>37</v>
      </c>
    </row>
    <row r="12" spans="1:1" ht="15.75" x14ac:dyDescent="0.25">
      <c r="A12" s="16" t="s">
        <v>69</v>
      </c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Firoz Shaikh</cp:lastModifiedBy>
  <cp:revision/>
  <dcterms:created xsi:type="dcterms:W3CDTF">2015-06-05T18:17:20Z</dcterms:created>
  <dcterms:modified xsi:type="dcterms:W3CDTF">2026-05-04T07:09:27Z</dcterms:modified>
  <cp:category/>
  <cp:contentStatus/>
</cp:coreProperties>
</file>