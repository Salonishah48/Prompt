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51DDD6B9-A576-4805-AB31-8B8F80F72B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J29" i="1"/>
  <c r="I34" i="1"/>
  <c r="J20" i="1"/>
  <c r="I27" i="1"/>
  <c r="I12" i="1"/>
  <c r="I11" i="1"/>
  <c r="I26" i="1"/>
  <c r="K20" i="1"/>
  <c r="I23" i="1"/>
  <c r="M20" i="1"/>
  <c r="L20" i="1"/>
  <c r="L29" i="1"/>
  <c r="K29" i="1"/>
  <c r="J31" i="1" l="1"/>
  <c r="J35" i="1" s="1"/>
  <c r="I20" i="1"/>
  <c r="K31" i="1"/>
  <c r="K35" i="1" s="1"/>
  <c r="L31" i="1"/>
  <c r="I25" i="1"/>
  <c r="I29" i="1" s="1"/>
  <c r="I24" i="1"/>
  <c r="I31" i="1" l="1"/>
  <c r="I35" i="1" s="1"/>
  <c r="N20" i="1"/>
  <c r="N29" i="1"/>
  <c r="M29" i="1"/>
  <c r="M31" i="1" s="1"/>
  <c r="K6" i="1"/>
  <c r="L6" i="1" s="1"/>
  <c r="M6" i="1" s="1"/>
  <c r="M35" i="1" l="1"/>
  <c r="N31" i="1"/>
  <c r="L35" i="1"/>
</calcChain>
</file>

<file path=xl/sharedStrings.xml><?xml version="1.0" encoding="utf-8"?>
<sst xmlns="http://schemas.openxmlformats.org/spreadsheetml/2006/main" count="99" uniqueCount="91">
  <si>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</si>
  <si>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</si>
  <si>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</si>
  <si>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</si>
  <si>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</si>
  <si>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</si>
  <si>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</si>
  <si>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</si>
  <si>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</si>
  <si>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</si>
  <si>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</si>
  <si>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</si>
  <si>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</si>
  <si>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</si>
  <si>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</si>
  <si>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</si>
  <si>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</si>
  <si>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</si>
  <si>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</si>
  <si>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</si>
  <si>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</si>
  <si>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</si>
  <si>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</si>
  <si>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</si>
  <si>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</si>
  <si>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</si>
  <si>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</si>
  <si>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</si>
  <si>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</si>
  <si>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</si>
  <si>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</si>
  <si>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</si>
  <si>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</si>
  <si>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</si>
  <si>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</si>
  <si>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</si>
  <si>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</si>
  <si>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</si>
  <si>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</si>
  <si>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</si>
  <si>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</si>
  <si>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</si>
  <si>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</si>
  <si>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</si>
  <si>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</si>
  <si>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</si>
  <si>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</si>
  <si>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</si>
  <si>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</si>
  <si>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</si>
  <si>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</si>
  <si>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</si>
  <si>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</si>
  <si>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</si>
  <si>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</si>
  <si>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</si>
  <si>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</si>
  <si>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</si>
  <si>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</si>
  <si>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</si>
  <si>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</si>
  <si>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</si>
  <si>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</si>
  <si>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</si>
  <si>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</si>
  <si>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</si>
  <si>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</si>
  <si>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</si>
  <si>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</si>
  <si>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</si>
  <si>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</si>
  <si>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</si>
  <si>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</si>
  <si>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</si>
  <si>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meetings and communicaiton related work</t>
  </si>
  <si>
    <t>Bhakti Nathawani</t>
  </si>
  <si>
    <t>Staff</t>
  </si>
  <si>
    <t>Firoz Shaikh</t>
  </si>
  <si>
    <t>Veer Corporation INC</t>
  </si>
  <si>
    <t>Clark &amp; Sons Inc.</t>
  </si>
  <si>
    <t>SPRLINE CONSULTANCY PRIVATE LIMITED</t>
  </si>
  <si>
    <t>Prints and Signs International LLC</t>
  </si>
  <si>
    <t>Palma Financial</t>
  </si>
  <si>
    <t>Bay Business Group LLC</t>
  </si>
  <si>
    <t>Matthew Blumberg CPA PLLC</t>
  </si>
  <si>
    <t>Kanak Naturals, LLC</t>
  </si>
  <si>
    <t>Kanak Export</t>
  </si>
  <si>
    <t>TSC Enterprise, LLC</t>
  </si>
  <si>
    <t>Kanak Pakway</t>
  </si>
  <si>
    <t xml:space="preserve">Netsuite Learning for USGB Client </t>
  </si>
  <si>
    <t>United States Gold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</si>
</sst>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0" xfId="0" applyFont="1"/>
    <xf numFmtId="0" fontId="0" fillId="0" borderId="0" xfId="0" quotePrefix="1"/>
    <xf numFmtId="0" fontId="1" fillId="0" borderId="1" xfId="1" applyNumberFormat="1" applyFont="1" applyBorder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="85" zoomScaleNormal="85" workbookViewId="0">
      <pane xSplit="2" ySplit="7" topLeftCell="D8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24.5703125" bestFit="1" customWidth="1"/>
    <col min="2" max="2" width="26.140625" bestFit="1" customWidth="1"/>
    <col min="3" max="3" width="25.140625" customWidth="1"/>
    <col min="4" max="4" width="42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75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76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77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7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40</v>
      </c>
      <c r="E7" s="3" t="s">
        <v>9</v>
      </c>
      <c r="F7" s="3" t="s">
        <v>10</v>
      </c>
      <c r="G7" s="3" t="s">
        <v>11</v>
      </c>
      <c r="H7" s="24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90</v>
      </c>
      <c r="C9" t="s">
        <v>90</v>
      </c>
      <c r="D9" s="25" t="s">
        <v>42</v>
      </c>
      <c r="E9" s="2"/>
      <c r="F9" s="2"/>
      <c r="G9" s="2"/>
      <c r="H9" s="25" t="s">
        <v>19</v>
      </c>
      <c r="I9" s="14">
        <f>SUM(J9:N9)</f>
        <v>14</v>
      </c>
      <c r="J9">
        <v>7</v>
      </c>
      <c r="K9">
        <v>7</v>
      </c>
    </row>
    <row r="10" spans="1:14" x14ac:dyDescent="0.25">
      <c r="D10" s="25"/>
      <c r="E10" s="2"/>
      <c r="F10" s="2"/>
      <c r="G10" s="2"/>
      <c r="H10" s="25"/>
      <c r="I10" s="14">
        <f>SUM(J10:N10)</f>
        <v>0</v>
      </c>
      <c r="K10" s="29"/>
    </row>
    <row r="11" spans="1:14" x14ac:dyDescent="0.25">
      <c r="D11" s="25"/>
      <c r="E11" s="2"/>
      <c r="F11" s="2"/>
      <c r="G11" s="2"/>
      <c r="H11" s="25"/>
      <c r="I11" s="14">
        <f>SUM(J11:N11)</f>
        <v>0</v>
      </c>
    </row>
    <row r="12" spans="1:14" x14ac:dyDescent="0.25">
      <c r="D12" s="25"/>
      <c r="E12" s="2"/>
      <c r="F12" s="2"/>
      <c r="G12" s="2"/>
      <c r="H12" s="25"/>
      <c r="I12" s="14">
        <f>SUM(J12:N12)</f>
        <v>0</v>
      </c>
    </row>
    <row r="13" spans="1:14" x14ac:dyDescent="0.25">
      <c r="D13" s="25"/>
      <c r="E13" s="2"/>
      <c r="F13" s="2"/>
      <c r="G13" s="2"/>
      <c r="H13" s="25"/>
    </row>
    <row r="14" spans="1:14" x14ac:dyDescent="0.25">
      <c r="D14" s="25"/>
      <c r="E14" s="2"/>
      <c r="F14" s="2"/>
      <c r="G14" s="2"/>
      <c r="H14" s="25"/>
    </row>
    <row r="15" spans="1:14" x14ac:dyDescent="0.25">
      <c r="D15" s="25"/>
      <c r="E15" s="2"/>
      <c r="F15" s="2"/>
      <c r="G15" s="2"/>
      <c r="H15" s="25"/>
    </row>
    <row r="16" spans="1:14" x14ac:dyDescent="0.25">
      <c r="D16" s="25"/>
      <c r="E16" s="2"/>
      <c r="F16" s="2"/>
      <c r="G16" s="2"/>
      <c r="H16" s="25"/>
    </row>
    <row r="17" spans="1:14" x14ac:dyDescent="0.25">
      <c r="D17" s="25"/>
      <c r="E17" s="2"/>
      <c r="F17" s="2"/>
      <c r="G17" s="2"/>
      <c r="H17" s="25"/>
    </row>
    <row r="18" spans="1:14" x14ac:dyDescent="0.25">
      <c r="D18" s="25"/>
      <c r="E18" s="2"/>
      <c r="F18" s="2"/>
      <c r="G18" s="2"/>
      <c r="H18" s="25"/>
    </row>
    <row r="19" spans="1:14" x14ac:dyDescent="0.25">
      <c r="D19" s="25"/>
      <c r="E19" s="2"/>
      <c r="F19" s="2"/>
      <c r="G19" s="2"/>
      <c r="H19" s="25"/>
    </row>
    <row r="20" spans="1:14" ht="15.75" thickBot="1" x14ac:dyDescent="0.3">
      <c r="A20" s="13" t="s">
        <v>20</v>
      </c>
      <c r="B20" s="9"/>
      <c r="C20" s="9"/>
      <c r="D20" s="9"/>
      <c r="E20" s="9"/>
      <c r="F20" s="9"/>
      <c r="G20" s="9"/>
      <c r="H20" s="9"/>
      <c r="I20" s="15">
        <f>SUM(I8:I12)</f>
        <v>14</v>
      </c>
      <c r="J20" s="30">
        <f>SUM(J9:J19)</f>
        <v>7</v>
      </c>
      <c r="K20" s="30">
        <f>SUM(K9:K19)</f>
        <v>7</v>
      </c>
      <c r="L20" s="15">
        <f>SUM(L9:L19)</f>
        <v>0</v>
      </c>
      <c r="M20" s="15">
        <f>SUM(M9:M19)</f>
        <v>0</v>
      </c>
      <c r="N20" s="15">
        <f>SUM(N8:N8)</f>
        <v>0</v>
      </c>
    </row>
    <row r="21" spans="1:14" ht="15.75" thickTop="1" x14ac:dyDescent="0.25">
      <c r="I21" s="14"/>
      <c r="J21" s="14"/>
      <c r="K21" s="14"/>
      <c r="L21" s="14"/>
      <c r="M21" s="14"/>
      <c r="N21" s="14"/>
    </row>
    <row r="22" spans="1:14" x14ac:dyDescent="0.25">
      <c r="A22" s="1" t="s">
        <v>21</v>
      </c>
      <c r="I22" s="14"/>
      <c r="J22" s="14"/>
      <c r="K22" s="14"/>
      <c r="L22" s="14"/>
      <c r="M22" s="14"/>
      <c r="N22" s="14"/>
    </row>
    <row r="23" spans="1:14" x14ac:dyDescent="0.25">
      <c r="B23" t="s">
        <v>22</v>
      </c>
      <c r="I23" s="14">
        <f t="shared" ref="I23:I25" si="0">SUM(J23:N23)</f>
        <v>4</v>
      </c>
      <c r="J23" s="31">
        <v>2</v>
      </c>
      <c r="K23" s="31">
        <v>2</v>
      </c>
      <c r="L23" s="14"/>
      <c r="M23" s="14"/>
      <c r="N23" s="14"/>
    </row>
    <row r="24" spans="1:14" x14ac:dyDescent="0.25">
      <c r="B24" t="s">
        <v>23</v>
      </c>
      <c r="I24" s="14">
        <f t="shared" si="0"/>
        <v>0</v>
      </c>
      <c r="J24" s="31"/>
      <c r="K24" s="14"/>
      <c r="L24" s="14"/>
      <c r="M24" s="14"/>
      <c r="N24" s="14"/>
    </row>
    <row r="25" spans="1:14" x14ac:dyDescent="0.25">
      <c r="B25" t="s">
        <v>24</v>
      </c>
      <c r="D25" s="28" t="s">
        <v>89</v>
      </c>
      <c r="I25" s="14">
        <f t="shared" si="0"/>
        <v>20</v>
      </c>
      <c r="J25" s="31">
        <v>10</v>
      </c>
      <c r="K25" s="31">
        <v>10</v>
      </c>
      <c r="L25" s="31"/>
      <c r="M25" s="31"/>
      <c r="N25" s="14"/>
    </row>
    <row r="26" spans="1:14" x14ac:dyDescent="0.25">
      <c r="B26" t="s">
        <v>25</v>
      </c>
      <c r="E26" s="2"/>
      <c r="I26" s="14">
        <f>SUM(J26:N26)</f>
        <v>0</v>
      </c>
      <c r="J26" s="31"/>
      <c r="K26" s="31"/>
      <c r="L26" s="31"/>
      <c r="M26" s="14"/>
      <c r="N26" s="14"/>
    </row>
    <row r="27" spans="1:14" x14ac:dyDescent="0.25">
      <c r="B27" t="s">
        <v>26</v>
      </c>
      <c r="I27" s="14">
        <f>SUM(J27:N27)</f>
        <v>42</v>
      </c>
      <c r="J27" s="31">
        <v>21</v>
      </c>
      <c r="K27" s="31">
        <v>21</v>
      </c>
      <c r="L27" s="31"/>
      <c r="M27" s="14"/>
      <c r="N27" s="14"/>
    </row>
    <row r="29" spans="1:14" ht="15.75" thickBot="1" x14ac:dyDescent="0.3">
      <c r="A29" s="13" t="s">
        <v>27</v>
      </c>
      <c r="B29" s="9"/>
      <c r="C29" s="9"/>
      <c r="D29" s="9"/>
      <c r="E29" s="9"/>
      <c r="F29" s="9"/>
      <c r="G29" s="9"/>
      <c r="H29" s="9"/>
      <c r="I29" s="15">
        <f>SUM(I23:I28)</f>
        <v>66</v>
      </c>
      <c r="J29" s="15">
        <f>SUM(J23:J28)</f>
        <v>33</v>
      </c>
      <c r="K29" s="15">
        <f t="shared" ref="K29" si="1">SUM(K23:K28)</f>
        <v>33</v>
      </c>
      <c r="L29" s="15">
        <f>SUM(L23:L28)</f>
        <v>0</v>
      </c>
      <c r="M29" s="15">
        <f t="shared" ref="M29:N29" si="2">SUM(M23:M28)</f>
        <v>0</v>
      </c>
      <c r="N29" s="15">
        <f t="shared" si="2"/>
        <v>0</v>
      </c>
    </row>
    <row r="30" spans="1:14" ht="15.75" thickTop="1" x14ac:dyDescent="0.25">
      <c r="I30" s="14"/>
      <c r="J30" s="14"/>
      <c r="K30" s="14"/>
      <c r="L30" s="14"/>
      <c r="M30" s="14"/>
      <c r="N30" s="14"/>
    </row>
    <row r="31" spans="1:14" ht="15.75" thickBot="1" x14ac:dyDescent="0.3">
      <c r="A31" s="13" t="s">
        <v>28</v>
      </c>
      <c r="B31" s="9"/>
      <c r="C31" s="9"/>
      <c r="D31" s="9"/>
      <c r="E31" s="9"/>
      <c r="F31" s="9"/>
      <c r="G31" s="9"/>
      <c r="H31" s="9"/>
      <c r="I31" s="15">
        <f>+I29+I20</f>
        <v>80</v>
      </c>
      <c r="J31" s="15">
        <f>+J29+J20</f>
        <v>40</v>
      </c>
      <c r="K31" s="15">
        <f>+K29+K20</f>
        <v>40</v>
      </c>
      <c r="L31" s="15">
        <f>+L29+L20</f>
        <v>0</v>
      </c>
      <c r="M31" s="15">
        <f>+M29+M20</f>
        <v>0</v>
      </c>
      <c r="N31" s="15">
        <f t="shared" ref="N31" si="3">+N29+N20</f>
        <v>0</v>
      </c>
    </row>
    <row r="32" spans="1:14" ht="15.75" thickTop="1" x14ac:dyDescent="0.25"/>
    <row r="34" spans="1:14" ht="15.75" thickBot="1" x14ac:dyDescent="0.3">
      <c r="A34" s="13" t="s">
        <v>29</v>
      </c>
      <c r="B34" s="9"/>
      <c r="C34" s="9"/>
      <c r="D34" s="9"/>
      <c r="E34" s="9"/>
      <c r="F34" s="9"/>
      <c r="G34" s="9"/>
      <c r="H34" s="9"/>
      <c r="I34" s="15">
        <f>SUM(J34:N34)</f>
        <v>80</v>
      </c>
      <c r="J34" s="15">
        <v>40</v>
      </c>
      <c r="K34" s="15">
        <v>40</v>
      </c>
      <c r="L34" s="15">
        <v>0</v>
      </c>
      <c r="M34" s="15">
        <v>0</v>
      </c>
      <c r="N34" s="15"/>
    </row>
    <row r="35" spans="1:14" ht="16.5" thickTop="1" thickBot="1" x14ac:dyDescent="0.3">
      <c r="A35" s="13" t="s">
        <v>30</v>
      </c>
      <c r="B35" s="9"/>
      <c r="C35" s="9"/>
      <c r="D35" s="9"/>
      <c r="E35" s="9"/>
      <c r="F35" s="9"/>
      <c r="G35" s="9"/>
      <c r="H35" s="9"/>
      <c r="I35" s="15">
        <f>+I34-I31</f>
        <v>0</v>
      </c>
      <c r="J35" s="15">
        <f>+J34-J31</f>
        <v>0</v>
      </c>
      <c r="K35" s="15">
        <f>+K34-K31</f>
        <v>0</v>
      </c>
      <c r="L35" s="15">
        <f t="shared" ref="L35:M35" si="4">+L34-L31</f>
        <v>0</v>
      </c>
      <c r="M35" s="15">
        <f t="shared" si="4"/>
        <v>0</v>
      </c>
      <c r="N35" s="15"/>
    </row>
    <row r="36" spans="1:14" ht="15.75" thickTop="1" x14ac:dyDescent="0.25"/>
  </sheetData>
  <protectedRanges>
    <protectedRange sqref="A8:XFD8 A9:A19 E9:XFD19 B19:C19 A23:XFD28" name="Range1"/>
    <protectedRange sqref="B13:B18 B10" name="Range1_1"/>
    <protectedRange sqref="D13:D19 D9:D11" name="Range1_2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H9:H19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D13:D19 D9:D11</xm:sqref>
        </x14:dataValidation>
        <x14:dataValidation type="list" allowBlank="1" showInputMessage="1" showErrorMessage="1" xr:uid="{A481834C-AAC1-4C69-9CC5-EE2775C5D063}">
          <x14:formula1>
            <xm:f>Status!$B$26:$B$37</xm:f>
          </x14:formula1>
          <xm:sqref>B13:B1048576 B7:B10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topLeftCell="A24" workbookViewId="0">
      <selection activeCell="B38" sqref="B38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0" t="s">
        <v>56</v>
      </c>
      <c r="C10" s="21" t="s">
        <v>57</v>
      </c>
    </row>
    <row r="11" spans="2:3" x14ac:dyDescent="0.25">
      <c r="B11" s="20" t="s">
        <v>73</v>
      </c>
      <c r="C11" s="21" t="s">
        <v>74</v>
      </c>
    </row>
    <row r="12" spans="2:3" x14ac:dyDescent="0.25">
      <c r="B12" s="1"/>
    </row>
    <row r="14" spans="2:3" ht="16.5" x14ac:dyDescent="0.25">
      <c r="B14" s="23" t="s">
        <v>58</v>
      </c>
      <c r="C14" s="23" t="s">
        <v>45</v>
      </c>
    </row>
    <row r="15" spans="2:3" x14ac:dyDescent="0.25">
      <c r="B15" s="22" t="s">
        <v>31</v>
      </c>
      <c r="C15" s="21" t="s">
        <v>59</v>
      </c>
    </row>
    <row r="16" spans="2:3" x14ac:dyDescent="0.25">
      <c r="B16" s="22" t="s">
        <v>60</v>
      </c>
      <c r="C16" s="21" t="s">
        <v>61</v>
      </c>
    </row>
    <row r="17" spans="2:3" x14ac:dyDescent="0.25">
      <c r="B17" s="22" t="s">
        <v>39</v>
      </c>
      <c r="C17" s="21" t="s">
        <v>62</v>
      </c>
    </row>
    <row r="18" spans="2:3" x14ac:dyDescent="0.25">
      <c r="B18" s="22" t="s">
        <v>19</v>
      </c>
      <c r="C18" s="21" t="s">
        <v>63</v>
      </c>
    </row>
    <row r="19" spans="2:3" x14ac:dyDescent="0.25">
      <c r="B19" s="22" t="s">
        <v>32</v>
      </c>
      <c r="C19" s="21" t="s">
        <v>64</v>
      </c>
    </row>
    <row r="20" spans="2:3" x14ac:dyDescent="0.25">
      <c r="B20" s="22" t="s">
        <v>33</v>
      </c>
      <c r="C20" s="21" t="s">
        <v>65</v>
      </c>
    </row>
    <row r="21" spans="2:3" x14ac:dyDescent="0.25">
      <c r="B21" s="22" t="s">
        <v>66</v>
      </c>
      <c r="C21" s="21" t="s">
        <v>67</v>
      </c>
    </row>
    <row r="22" spans="2:3" x14ac:dyDescent="0.25">
      <c r="B22" s="22" t="s">
        <v>38</v>
      </c>
      <c r="C22" s="21" t="s">
        <v>68</v>
      </c>
    </row>
    <row r="26" spans="2:3" x14ac:dyDescent="0.25">
      <c r="B26" s="20" t="s">
        <v>7</v>
      </c>
    </row>
    <row r="27" spans="2:3" x14ac:dyDescent="0.25">
      <c r="B27" s="21" t="s">
        <v>80</v>
      </c>
    </row>
    <row r="28" spans="2:3" x14ac:dyDescent="0.25">
      <c r="B28" s="21" t="s">
        <v>81</v>
      </c>
    </row>
    <row r="29" spans="2:3" x14ac:dyDescent="0.25">
      <c r="B29" s="21" t="s">
        <v>82</v>
      </c>
    </row>
    <row r="30" spans="2:3" x14ac:dyDescent="0.25">
      <c r="B30" s="21" t="s">
        <v>83</v>
      </c>
    </row>
    <row r="31" spans="2:3" x14ac:dyDescent="0.25">
      <c r="B31" s="21" t="s">
        <v>78</v>
      </c>
    </row>
    <row r="32" spans="2:3" x14ac:dyDescent="0.25">
      <c r="B32" s="21" t="s">
        <v>79</v>
      </c>
    </row>
    <row r="33" spans="2:2" x14ac:dyDescent="0.25">
      <c r="B33" s="21" t="s">
        <v>84</v>
      </c>
    </row>
    <row r="34" spans="2:2" x14ac:dyDescent="0.25">
      <c r="B34" s="21" t="s">
        <v>85</v>
      </c>
    </row>
    <row r="35" spans="2:2" x14ac:dyDescent="0.25">
      <c r="B35" s="21" t="s">
        <v>86</v>
      </c>
    </row>
    <row r="36" spans="2:2" x14ac:dyDescent="0.25">
      <c r="B36" s="21" t="s">
        <v>87</v>
      </c>
    </row>
    <row r="37" spans="2:2" x14ac:dyDescent="0.25">
      <c r="B37" s="21" t="s">
        <v>88</v>
      </c>
    </row>
    <row r="38" spans="2:2" x14ac:dyDescent="0.25">
      <c r="B38" s="21" t="s">
        <v>90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2026-05-04T07:06:30Z</dcterms:modified>
  <cp:category/>
  <cp:contentStatus/>
</cp:coreProperties>
</file>