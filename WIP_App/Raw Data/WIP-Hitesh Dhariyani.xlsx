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Sandeep Chavda\"/>
    </mc:Choice>
  </mc:AlternateContent>
  <xr:revisionPtr revIDLastSave="0" documentId="13_ncr:1_{BAE6F2D0-0EB3-4DA7-8D64-155D0891C1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1" l="1"/>
  <c r="I40" i="1"/>
  <c r="I41" i="1"/>
  <c r="I38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9" i="1"/>
  <c r="I42" i="1"/>
  <c r="I44" i="1" l="1"/>
  <c r="I35" i="1" l="1"/>
  <c r="M35" i="1"/>
  <c r="L35" i="1"/>
  <c r="K35" i="1"/>
  <c r="J35" i="1"/>
  <c r="M44" i="1"/>
  <c r="L44" i="1"/>
  <c r="K44" i="1"/>
  <c r="J44" i="1"/>
  <c r="K6" i="1"/>
  <c r="L6" i="1" s="1"/>
  <c r="M6" i="1" s="1"/>
  <c r="L46" i="1" l="1"/>
  <c r="L50" i="1" s="1"/>
  <c r="J46" i="1"/>
  <c r="J50" i="1" s="1"/>
  <c r="M46" i="1"/>
  <c r="M50" i="1" s="1"/>
  <c r="K46" i="1"/>
  <c r="K50" i="1" s="1"/>
  <c r="I46" i="1"/>
</calcChain>
</file>

<file path=xl/sharedStrings.xml><?xml version="1.0" encoding="utf-8"?>
<sst xmlns="http://schemas.openxmlformats.org/spreadsheetml/2006/main" count="179" uniqueCount="102">
  <si>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</si>
  <si>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</si>
  <si>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</si>
  <si>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</si>
  <si>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</si>
  <si>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</si>
  <si>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</si>
  <si>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</si>
  <si>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</si>
  <si>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</si>
  <si>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</si>
  <si>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</si>
  <si>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</si>
  <si>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</si>
  <si>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</si>
  <si>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</si>
  <si>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</si>
  <si>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</si>
  <si>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</si>
  <si>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</si>
  <si>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</si>
  <si>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</si>
  <si>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</si>
  <si>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</si>
  <si>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</si>
  <si>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</si>
  <si>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</si>
  <si>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</si>
  <si>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</si>
  <si>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</si>
  <si>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</si>
  <si>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</si>
  <si>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</si>
  <si>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</si>
  <si>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</si>
  <si>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</si>
  <si>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</si>
  <si>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</si>
  <si>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</si>
  <si>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</si>
  <si>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</si>
  <si>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</si>
  <si>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</si>
  <si>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</si>
  <si>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</si>
  <si>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</si>
  <si>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</si>
  <si>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</si>
  <si>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</si>
  <si>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</si>
  <si>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</si>
  <si>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</si>
  <si>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</si>
  <si>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</si>
  <si>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</si>
  <si>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</si>
  <si>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</si>
  <si>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</si>
  <si>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</si>
  <si>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</si>
  <si>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</si>
  <si>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</si>
  <si>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</si>
  <si>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</si>
  <si>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</si>
  <si>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</si>
  <si>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</si>
  <si>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</si>
  <si>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</si>
  <si>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</si>
  <si>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</si>
  <si>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</si>
  <si>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Client call</t>
  </si>
  <si>
    <t>Northwest Finest General Contracting</t>
  </si>
  <si>
    <t>Olympic Ballroom Dance LLC</t>
  </si>
  <si>
    <t>Tilley Court Caves, LLC (Property)</t>
  </si>
  <si>
    <t>Tilley Court Caves Leasing, LLC (Leases)</t>
  </si>
  <si>
    <t>Capitol City Construction</t>
  </si>
  <si>
    <t>D&amp;L Cox Company - Snap-On</t>
  </si>
  <si>
    <t>Olympia School of Advanced Skincare, Inc.</t>
  </si>
  <si>
    <t>Hitesh Dhariyani</t>
  </si>
  <si>
    <t>Senior</t>
  </si>
  <si>
    <t>Sandeepkumar Chavda</t>
  </si>
  <si>
    <t>Week 1</t>
  </si>
  <si>
    <t>Varsity Electric LLC</t>
  </si>
  <si>
    <t>Varsity Electric, LLC</t>
  </si>
  <si>
    <t>Bookworks Accounting &amp; Bookkeeping, LLC</t>
  </si>
  <si>
    <t>Hoagie Bun Factory LLC</t>
  </si>
  <si>
    <t>Meconi's Rentals No. One, LLC</t>
  </si>
  <si>
    <t>Adaptive Living, LLC</t>
  </si>
  <si>
    <t>All Angles Consulting, LLC</t>
  </si>
  <si>
    <t>All Seasons Espresso, LLC</t>
  </si>
  <si>
    <t>Basiliere &amp; Crockett PLLC</t>
  </si>
  <si>
    <t>CFS Investments, LLC</t>
  </si>
  <si>
    <t>Drip Espresso Bar, LLC</t>
  </si>
  <si>
    <t>Emerald Cremation and Burial LLC</t>
  </si>
  <si>
    <t>Gold Standard Lawn Care, Inc.</t>
  </si>
  <si>
    <t>Good Faith Cremation LLC</t>
  </si>
  <si>
    <t>Hawks Prairie - Meconi Properties LLC</t>
  </si>
  <si>
    <t>Indian Creek HOA</t>
  </si>
  <si>
    <t>Madra Rua L.L.C., DBA Red Fox Custom Carpentry</t>
  </si>
  <si>
    <t>Meconi's Italian Subs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</si>
</sst>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/>
    <xf numFmtId="43" fontId="1" fillId="0" borderId="0" xfId="1" applyFont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43" fontId="0" fillId="5" borderId="0" xfId="1" applyFont="1" applyFill="1"/>
    <xf numFmtId="43" fontId="1" fillId="5" borderId="1" xfId="1" applyFont="1" applyFill="1" applyBorder="1"/>
    <xf numFmtId="0" fontId="0" fillId="4" borderId="0" xfId="0" applyFill="1"/>
    <xf numFmtId="0" fontId="0" fillId="0" borderId="0" xfId="0" applyAlignment="1">
      <alignment horizontal="right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3" borderId="0" xfId="0" applyFill="1"/>
    <xf numFmtId="43" fontId="0" fillId="0" borderId="0" xfId="1" applyFont="1" applyFill="1"/>
    <xf numFmtId="0" fontId="8" fillId="0" borderId="0" xfId="0" applyFont="1"/>
    <xf numFmtId="14" fontId="0" fillId="7" borderId="0" xfId="0" applyNumberFormat="1" applyFill="1"/>
    <xf numFmtId="0" fontId="0" fillId="0" borderId="0" xfId="0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190500</xdr:rowOff>
    </xdr:from>
    <xdr:to>
      <xdr:col>0</xdr:col>
      <xdr:colOff>3305630</xdr:colOff>
      <xdr:row>5</xdr:row>
      <xdr:rowOff>142952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60007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zoomScale="85" zoomScaleNormal="85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C8" sqref="C8"/>
    </sheetView>
  </sheetViews>
  <sheetFormatPr defaultRowHeight="15" x14ac:dyDescent="0.25"/>
  <cols>
    <col min="1" max="1" width="15.7109375" customWidth="1"/>
    <col min="2" max="2" width="39.140625" bestFit="1" customWidth="1"/>
    <col min="3" max="3" width="51.5703125" bestFit="1" customWidth="1"/>
    <col min="4" max="4" width="41" bestFit="1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1" width="10.7109375" bestFit="1" customWidth="1"/>
    <col min="12" max="12" width="10.7109375" customWidth="1"/>
    <col min="13" max="13" width="10.7109375" bestFit="1" customWidth="1"/>
  </cols>
  <sheetData>
    <row r="1" spans="1:13" x14ac:dyDescent="0.25">
      <c r="A1" s="1" t="s">
        <v>0</v>
      </c>
      <c r="H1" s="22"/>
    </row>
    <row r="2" spans="1:13" x14ac:dyDescent="0.25">
      <c r="A2" s="1" t="s">
        <v>1</v>
      </c>
      <c r="B2" s="5" t="s">
        <v>80</v>
      </c>
      <c r="C2" s="5"/>
      <c r="H2" s="1"/>
      <c r="I2" s="1"/>
      <c r="J2" s="6"/>
      <c r="K2" s="6"/>
      <c r="L2" s="6"/>
    </row>
    <row r="3" spans="1:13" x14ac:dyDescent="0.25">
      <c r="A3" s="1" t="s">
        <v>2</v>
      </c>
      <c r="B3" s="5" t="s">
        <v>81</v>
      </c>
      <c r="C3" s="5"/>
      <c r="H3" s="1"/>
      <c r="I3" s="1"/>
      <c r="J3" s="6"/>
      <c r="K3" s="6"/>
      <c r="L3" s="6"/>
    </row>
    <row r="4" spans="1:13" x14ac:dyDescent="0.25">
      <c r="A4" s="1" t="s">
        <v>3</v>
      </c>
      <c r="B4" s="5" t="s">
        <v>82</v>
      </c>
      <c r="C4" s="5"/>
      <c r="H4" s="1"/>
      <c r="I4" s="1"/>
      <c r="J4" s="6"/>
      <c r="K4" s="6"/>
      <c r="L4" s="6"/>
    </row>
    <row r="5" spans="1:13" x14ac:dyDescent="0.25">
      <c r="A5" s="1"/>
      <c r="B5" s="5"/>
      <c r="C5" s="5"/>
    </row>
    <row r="6" spans="1:13" x14ac:dyDescent="0.25">
      <c r="I6" s="23" t="s">
        <v>4</v>
      </c>
      <c r="J6" s="30">
        <v>46146</v>
      </c>
      <c r="K6" s="24">
        <f>J6+7</f>
        <v>46153</v>
      </c>
      <c r="L6" s="24">
        <f>K6+7</f>
        <v>46160</v>
      </c>
      <c r="M6" s="24">
        <f>L6+7</f>
        <v>46167</v>
      </c>
    </row>
    <row r="7" spans="1:13" s="1" customFormat="1" ht="30" x14ac:dyDescent="0.25">
      <c r="A7" s="2" t="s">
        <v>5</v>
      </c>
      <c r="B7" s="2" t="s">
        <v>6</v>
      </c>
      <c r="C7" s="2" t="s">
        <v>7</v>
      </c>
      <c r="D7" s="18" t="s">
        <v>38</v>
      </c>
      <c r="E7" s="2" t="s">
        <v>8</v>
      </c>
      <c r="F7" s="2" t="s">
        <v>9</v>
      </c>
      <c r="G7" s="2" t="s">
        <v>10</v>
      </c>
      <c r="H7" s="18" t="s">
        <v>11</v>
      </c>
      <c r="I7" s="18" t="s">
        <v>12</v>
      </c>
      <c r="J7" s="2" t="s">
        <v>83</v>
      </c>
      <c r="K7" s="2" t="s">
        <v>13</v>
      </c>
      <c r="L7" s="2" t="s">
        <v>14</v>
      </c>
      <c r="M7" s="2" t="s">
        <v>15</v>
      </c>
    </row>
    <row r="8" spans="1:13" x14ac:dyDescent="0.25">
      <c r="A8" s="4" t="s">
        <v>16</v>
      </c>
      <c r="B8" s="3"/>
      <c r="C8" s="3"/>
      <c r="D8" s="18"/>
      <c r="E8" s="3"/>
      <c r="F8" s="3"/>
      <c r="G8" s="3"/>
      <c r="H8" s="18"/>
      <c r="I8" s="18"/>
      <c r="J8" s="3"/>
      <c r="K8" s="3"/>
      <c r="L8" s="3"/>
      <c r="M8" s="25"/>
    </row>
    <row r="9" spans="1:13" x14ac:dyDescent="0.25">
      <c r="A9">
        <v>1</v>
      </c>
      <c r="B9" s="29" t="s">
        <v>86</v>
      </c>
      <c r="C9" s="29" t="s">
        <v>73</v>
      </c>
      <c r="D9" s="26" t="s">
        <v>54</v>
      </c>
      <c r="E9" s="24">
        <v>46118</v>
      </c>
      <c r="F9" s="24">
        <v>46112</v>
      </c>
      <c r="G9" s="24"/>
      <c r="H9" s="26" t="s">
        <v>58</v>
      </c>
      <c r="I9" s="20">
        <f>SUM(J9:N9)</f>
        <v>1</v>
      </c>
      <c r="J9" s="8">
        <v>1</v>
      </c>
      <c r="K9" s="8"/>
      <c r="L9" s="8"/>
    </row>
    <row r="10" spans="1:13" x14ac:dyDescent="0.25">
      <c r="A10">
        <v>2</v>
      </c>
      <c r="B10" s="29" t="s">
        <v>86</v>
      </c>
      <c r="C10" t="s">
        <v>79</v>
      </c>
      <c r="D10" s="26" t="s">
        <v>54</v>
      </c>
      <c r="E10" s="24">
        <v>46090</v>
      </c>
      <c r="F10" s="24">
        <v>46112</v>
      </c>
      <c r="G10" s="24"/>
      <c r="H10" s="26" t="s">
        <v>58</v>
      </c>
      <c r="I10" s="20">
        <f t="shared" ref="I10:I33" si="0">SUM(J10:N10)</f>
        <v>1</v>
      </c>
      <c r="J10" s="8">
        <v>1</v>
      </c>
      <c r="K10" s="8"/>
      <c r="L10" s="8"/>
    </row>
    <row r="11" spans="1:13" x14ac:dyDescent="0.25">
      <c r="A11">
        <v>3</v>
      </c>
      <c r="B11" s="29" t="s">
        <v>86</v>
      </c>
      <c r="C11" t="s">
        <v>74</v>
      </c>
      <c r="D11" s="26" t="s">
        <v>39</v>
      </c>
      <c r="E11" s="24">
        <v>46092</v>
      </c>
      <c r="F11" s="24">
        <v>46092</v>
      </c>
      <c r="G11" s="24"/>
      <c r="H11" s="26" t="s">
        <v>58</v>
      </c>
      <c r="I11" s="20">
        <f t="shared" si="0"/>
        <v>0.5</v>
      </c>
      <c r="J11" s="8">
        <v>0.5</v>
      </c>
      <c r="K11" s="8"/>
      <c r="L11" s="28"/>
    </row>
    <row r="12" spans="1:13" x14ac:dyDescent="0.25">
      <c r="A12">
        <v>4</v>
      </c>
      <c r="B12" s="29" t="s">
        <v>86</v>
      </c>
      <c r="C12" t="s">
        <v>75</v>
      </c>
      <c r="D12" s="26" t="s">
        <v>54</v>
      </c>
      <c r="E12" s="24">
        <v>46083</v>
      </c>
      <c r="F12" s="24">
        <v>46112</v>
      </c>
      <c r="H12" s="26" t="s">
        <v>58</v>
      </c>
      <c r="I12" s="20">
        <f t="shared" si="0"/>
        <v>1</v>
      </c>
      <c r="J12" s="8">
        <v>1</v>
      </c>
      <c r="K12" s="8"/>
      <c r="L12" s="28"/>
    </row>
    <row r="13" spans="1:13" x14ac:dyDescent="0.25">
      <c r="A13">
        <v>5</v>
      </c>
      <c r="B13" s="29" t="s">
        <v>86</v>
      </c>
      <c r="C13" t="s">
        <v>76</v>
      </c>
      <c r="D13" s="26" t="s">
        <v>54</v>
      </c>
      <c r="E13" s="24">
        <v>46083</v>
      </c>
      <c r="F13" s="24">
        <v>46112</v>
      </c>
      <c r="H13" s="26" t="s">
        <v>58</v>
      </c>
      <c r="I13" s="20">
        <f t="shared" si="0"/>
        <v>1</v>
      </c>
      <c r="J13" s="8">
        <v>1</v>
      </c>
      <c r="K13" s="8"/>
      <c r="L13" s="28"/>
    </row>
    <row r="14" spans="1:13" x14ac:dyDescent="0.25">
      <c r="A14">
        <v>6</v>
      </c>
      <c r="B14" s="29" t="s">
        <v>86</v>
      </c>
      <c r="C14" t="s">
        <v>77</v>
      </c>
      <c r="D14" s="26" t="s">
        <v>54</v>
      </c>
      <c r="E14" s="24">
        <v>46083</v>
      </c>
      <c r="F14" s="24">
        <v>46112</v>
      </c>
      <c r="H14" s="26" t="s">
        <v>58</v>
      </c>
      <c r="I14" s="20">
        <f t="shared" si="0"/>
        <v>1</v>
      </c>
      <c r="J14" s="8">
        <v>1</v>
      </c>
      <c r="K14" s="8"/>
      <c r="L14" s="28"/>
    </row>
    <row r="15" spans="1:13" x14ac:dyDescent="0.25">
      <c r="A15">
        <v>7</v>
      </c>
      <c r="B15" s="29" t="s">
        <v>86</v>
      </c>
      <c r="C15" t="s">
        <v>78</v>
      </c>
      <c r="D15" s="26" t="s">
        <v>54</v>
      </c>
      <c r="E15" s="24">
        <v>46083</v>
      </c>
      <c r="F15" s="24">
        <v>46112</v>
      </c>
      <c r="H15" s="26" t="s">
        <v>58</v>
      </c>
      <c r="I15" s="20">
        <f t="shared" si="0"/>
        <v>1</v>
      </c>
      <c r="J15" s="8">
        <v>1</v>
      </c>
      <c r="K15" s="8"/>
      <c r="L15" s="28"/>
    </row>
    <row r="16" spans="1:13" x14ac:dyDescent="0.25">
      <c r="A16">
        <v>8</v>
      </c>
      <c r="B16" s="29" t="s">
        <v>86</v>
      </c>
      <c r="C16" t="s">
        <v>84</v>
      </c>
      <c r="D16" s="26" t="s">
        <v>54</v>
      </c>
      <c r="E16" s="24">
        <v>46115</v>
      </c>
      <c r="F16" s="24">
        <v>46142</v>
      </c>
      <c r="H16" s="26" t="s">
        <v>58</v>
      </c>
      <c r="I16" s="20">
        <f t="shared" si="0"/>
        <v>1</v>
      </c>
      <c r="J16" s="8">
        <v>1</v>
      </c>
    </row>
    <row r="17" spans="1:11" x14ac:dyDescent="0.25">
      <c r="A17">
        <v>9</v>
      </c>
      <c r="B17" s="29" t="s">
        <v>86</v>
      </c>
      <c r="C17" t="s">
        <v>85</v>
      </c>
      <c r="D17" s="26" t="s">
        <v>40</v>
      </c>
      <c r="E17" s="24">
        <v>46115</v>
      </c>
      <c r="F17" s="24">
        <v>46142</v>
      </c>
      <c r="H17" s="26" t="s">
        <v>29</v>
      </c>
      <c r="I17" s="20">
        <f t="shared" si="0"/>
        <v>2</v>
      </c>
      <c r="J17" s="8">
        <v>2</v>
      </c>
    </row>
    <row r="18" spans="1:11" x14ac:dyDescent="0.25">
      <c r="A18">
        <v>10</v>
      </c>
      <c r="B18" s="29" t="s">
        <v>86</v>
      </c>
      <c r="C18" t="s">
        <v>85</v>
      </c>
      <c r="D18" s="26" t="s">
        <v>40</v>
      </c>
      <c r="E18" s="24">
        <v>46115</v>
      </c>
      <c r="F18" s="24">
        <v>46142</v>
      </c>
      <c r="H18" s="26" t="s">
        <v>29</v>
      </c>
      <c r="I18" s="20">
        <f t="shared" si="0"/>
        <v>1.5</v>
      </c>
      <c r="J18" s="8">
        <v>1.5</v>
      </c>
    </row>
    <row r="19" spans="1:11" x14ac:dyDescent="0.25">
      <c r="A19">
        <v>11</v>
      </c>
      <c r="B19" s="29" t="s">
        <v>86</v>
      </c>
      <c r="C19" s="31" t="s">
        <v>89</v>
      </c>
      <c r="D19" s="26" t="s">
        <v>40</v>
      </c>
      <c r="E19" s="24">
        <v>46146</v>
      </c>
      <c r="F19" s="24">
        <v>46173</v>
      </c>
      <c r="H19" s="26" t="s">
        <v>29</v>
      </c>
      <c r="I19" s="20">
        <f t="shared" si="0"/>
        <v>2</v>
      </c>
      <c r="J19" s="8">
        <v>2</v>
      </c>
    </row>
    <row r="20" spans="1:11" x14ac:dyDescent="0.25">
      <c r="A20">
        <v>12</v>
      </c>
      <c r="B20" s="29" t="s">
        <v>86</v>
      </c>
      <c r="C20" s="31" t="s">
        <v>90</v>
      </c>
      <c r="D20" s="26" t="s">
        <v>40</v>
      </c>
      <c r="E20" s="24">
        <v>46146</v>
      </c>
      <c r="F20" s="24">
        <v>46173</v>
      </c>
      <c r="H20" s="26" t="s">
        <v>29</v>
      </c>
      <c r="I20" s="20">
        <f t="shared" si="0"/>
        <v>2</v>
      </c>
      <c r="J20" s="8">
        <v>2</v>
      </c>
    </row>
    <row r="21" spans="1:11" x14ac:dyDescent="0.25">
      <c r="A21">
        <v>13</v>
      </c>
      <c r="B21" s="29" t="s">
        <v>86</v>
      </c>
      <c r="C21" s="31" t="s">
        <v>91</v>
      </c>
      <c r="D21" s="26" t="s">
        <v>40</v>
      </c>
      <c r="E21" s="24">
        <v>46146</v>
      </c>
      <c r="F21" s="24">
        <v>46173</v>
      </c>
      <c r="H21" s="26" t="s">
        <v>29</v>
      </c>
      <c r="I21" s="20">
        <f t="shared" si="0"/>
        <v>2</v>
      </c>
      <c r="J21" s="8">
        <v>2</v>
      </c>
    </row>
    <row r="22" spans="1:11" x14ac:dyDescent="0.25">
      <c r="A22">
        <v>14</v>
      </c>
      <c r="B22" s="29" t="s">
        <v>86</v>
      </c>
      <c r="C22" s="31" t="s">
        <v>92</v>
      </c>
      <c r="D22" s="26" t="s">
        <v>40</v>
      </c>
      <c r="E22" s="24">
        <v>46146</v>
      </c>
      <c r="F22" s="24">
        <v>46173</v>
      </c>
      <c r="H22" s="26" t="s">
        <v>29</v>
      </c>
      <c r="I22" s="20">
        <f t="shared" si="0"/>
        <v>2</v>
      </c>
      <c r="J22" s="8">
        <v>2</v>
      </c>
    </row>
    <row r="23" spans="1:11" x14ac:dyDescent="0.25">
      <c r="A23">
        <v>15</v>
      </c>
      <c r="B23" s="29" t="s">
        <v>86</v>
      </c>
      <c r="C23" s="31" t="s">
        <v>93</v>
      </c>
      <c r="D23" s="26" t="s">
        <v>40</v>
      </c>
      <c r="E23" s="24">
        <v>46146</v>
      </c>
      <c r="F23" s="24">
        <v>46173</v>
      </c>
      <c r="H23" s="26" t="s">
        <v>29</v>
      </c>
      <c r="I23" s="20">
        <f t="shared" si="0"/>
        <v>2</v>
      </c>
      <c r="J23" s="8">
        <v>2</v>
      </c>
    </row>
    <row r="24" spans="1:11" x14ac:dyDescent="0.25">
      <c r="A24">
        <v>16</v>
      </c>
      <c r="B24" s="29" t="s">
        <v>86</v>
      </c>
      <c r="C24" s="31" t="s">
        <v>94</v>
      </c>
      <c r="D24" s="26" t="s">
        <v>40</v>
      </c>
      <c r="E24" s="24">
        <v>46146</v>
      </c>
      <c r="F24" s="24">
        <v>46173</v>
      </c>
      <c r="H24" s="26" t="s">
        <v>29</v>
      </c>
      <c r="I24" s="20">
        <f t="shared" si="0"/>
        <v>1.5</v>
      </c>
      <c r="J24" s="8">
        <v>1.5</v>
      </c>
    </row>
    <row r="25" spans="1:11" x14ac:dyDescent="0.25">
      <c r="A25">
        <v>17</v>
      </c>
      <c r="B25" s="29" t="s">
        <v>86</v>
      </c>
      <c r="C25" s="31" t="s">
        <v>95</v>
      </c>
      <c r="D25" s="26" t="s">
        <v>40</v>
      </c>
      <c r="E25" s="24">
        <v>46146</v>
      </c>
      <c r="F25" s="24">
        <v>46173</v>
      </c>
      <c r="H25" s="26" t="s">
        <v>29</v>
      </c>
      <c r="I25" s="20">
        <f t="shared" si="0"/>
        <v>2</v>
      </c>
      <c r="J25" s="8">
        <v>2</v>
      </c>
    </row>
    <row r="26" spans="1:11" x14ac:dyDescent="0.25">
      <c r="A26">
        <v>18</v>
      </c>
      <c r="B26" s="29" t="s">
        <v>86</v>
      </c>
      <c r="C26" s="31" t="s">
        <v>96</v>
      </c>
      <c r="D26" s="26" t="s">
        <v>40</v>
      </c>
      <c r="E26" s="24">
        <v>46146</v>
      </c>
      <c r="F26" s="24">
        <v>46173</v>
      </c>
      <c r="H26" s="26" t="s">
        <v>29</v>
      </c>
      <c r="I26" s="20">
        <f t="shared" si="0"/>
        <v>2</v>
      </c>
      <c r="J26" s="8">
        <v>2</v>
      </c>
    </row>
    <row r="27" spans="1:11" x14ac:dyDescent="0.25">
      <c r="A27">
        <v>19</v>
      </c>
      <c r="B27" s="29" t="s">
        <v>86</v>
      </c>
      <c r="C27" s="31" t="s">
        <v>97</v>
      </c>
      <c r="D27" s="26" t="s">
        <v>40</v>
      </c>
      <c r="E27" s="24">
        <v>46146</v>
      </c>
      <c r="F27" s="24">
        <v>46173</v>
      </c>
      <c r="H27" s="26" t="s">
        <v>29</v>
      </c>
      <c r="I27" s="20">
        <f t="shared" si="0"/>
        <v>1.5</v>
      </c>
      <c r="J27" s="8">
        <v>1.5</v>
      </c>
    </row>
    <row r="28" spans="1:11" x14ac:dyDescent="0.25">
      <c r="A28">
        <v>20</v>
      </c>
      <c r="B28" s="29" t="s">
        <v>86</v>
      </c>
      <c r="C28" s="31" t="s">
        <v>98</v>
      </c>
      <c r="D28" s="26" t="s">
        <v>40</v>
      </c>
      <c r="E28" s="24">
        <v>46146</v>
      </c>
      <c r="F28" s="24">
        <v>46173</v>
      </c>
      <c r="H28" s="26" t="s">
        <v>29</v>
      </c>
      <c r="I28" s="20">
        <f t="shared" si="0"/>
        <v>2</v>
      </c>
      <c r="J28" s="8">
        <v>2</v>
      </c>
    </row>
    <row r="29" spans="1:11" x14ac:dyDescent="0.25">
      <c r="A29">
        <v>21</v>
      </c>
      <c r="B29" s="29" t="s">
        <v>86</v>
      </c>
      <c r="C29" s="31" t="s">
        <v>87</v>
      </c>
      <c r="D29" s="26" t="s">
        <v>40</v>
      </c>
      <c r="E29" s="24">
        <v>46146</v>
      </c>
      <c r="F29" s="24">
        <v>46173</v>
      </c>
      <c r="H29" s="26" t="s">
        <v>29</v>
      </c>
      <c r="I29" s="20">
        <f t="shared" si="0"/>
        <v>2</v>
      </c>
      <c r="J29" s="8">
        <v>2</v>
      </c>
    </row>
    <row r="30" spans="1:11" x14ac:dyDescent="0.25">
      <c r="A30">
        <v>22</v>
      </c>
      <c r="B30" s="29" t="s">
        <v>86</v>
      </c>
      <c r="C30" s="31" t="s">
        <v>99</v>
      </c>
      <c r="D30" s="26" t="s">
        <v>40</v>
      </c>
      <c r="E30" s="24">
        <v>46146</v>
      </c>
      <c r="F30" s="24">
        <v>46173</v>
      </c>
      <c r="H30" s="26" t="s">
        <v>29</v>
      </c>
      <c r="I30" s="20">
        <f t="shared" si="0"/>
        <v>1.5</v>
      </c>
      <c r="J30" s="8">
        <v>1.5</v>
      </c>
    </row>
    <row r="31" spans="1:11" x14ac:dyDescent="0.25">
      <c r="A31">
        <v>23</v>
      </c>
      <c r="B31" s="29" t="s">
        <v>86</v>
      </c>
      <c r="C31" s="31" t="s">
        <v>100</v>
      </c>
      <c r="D31" s="26" t="s">
        <v>40</v>
      </c>
      <c r="E31" s="24">
        <v>46146</v>
      </c>
      <c r="F31" s="24">
        <v>46173</v>
      </c>
      <c r="H31" s="26" t="s">
        <v>29</v>
      </c>
      <c r="I31" s="20">
        <f t="shared" si="0"/>
        <v>2</v>
      </c>
      <c r="J31" s="8">
        <v>2</v>
      </c>
    </row>
    <row r="32" spans="1:11" x14ac:dyDescent="0.25">
      <c r="A32">
        <v>24</v>
      </c>
      <c r="B32" s="29" t="s">
        <v>86</v>
      </c>
      <c r="C32" s="31" t="s">
        <v>101</v>
      </c>
      <c r="D32" s="26" t="s">
        <v>40</v>
      </c>
      <c r="E32" s="24">
        <v>46146</v>
      </c>
      <c r="F32" s="24">
        <v>46173</v>
      </c>
      <c r="H32" s="26" t="s">
        <v>29</v>
      </c>
      <c r="I32" s="20">
        <f t="shared" si="0"/>
        <v>2</v>
      </c>
      <c r="J32" s="8">
        <v>2</v>
      </c>
      <c r="K32" s="8"/>
    </row>
    <row r="33" spans="1:13" x14ac:dyDescent="0.25">
      <c r="A33">
        <v>25</v>
      </c>
      <c r="B33" s="29" t="s">
        <v>86</v>
      </c>
      <c r="C33" s="31" t="s">
        <v>88</v>
      </c>
      <c r="D33" s="26" t="s">
        <v>40</v>
      </c>
      <c r="E33" s="24">
        <v>46146</v>
      </c>
      <c r="F33" s="24">
        <v>46173</v>
      </c>
      <c r="H33" s="26" t="s">
        <v>29</v>
      </c>
      <c r="I33" s="20">
        <f t="shared" si="0"/>
        <v>1.5</v>
      </c>
      <c r="J33" s="8">
        <v>1.5</v>
      </c>
      <c r="K33" s="8"/>
    </row>
    <row r="34" spans="1:13" x14ac:dyDescent="0.25">
      <c r="C34" s="31"/>
      <c r="D34" s="26"/>
      <c r="H34" s="26"/>
      <c r="I34" s="26"/>
    </row>
    <row r="35" spans="1:13" ht="15.75" thickBot="1" x14ac:dyDescent="0.3">
      <c r="A35" s="7" t="s">
        <v>18</v>
      </c>
      <c r="B35" s="27"/>
      <c r="C35" s="31"/>
      <c r="D35" s="27"/>
      <c r="E35" s="27"/>
      <c r="F35" s="27"/>
      <c r="G35" s="27"/>
      <c r="H35" s="27"/>
      <c r="I35" s="21">
        <f>SUM(I8:I34)</f>
        <v>39</v>
      </c>
      <c r="J35" s="9">
        <f>SUM(J8:J34)</f>
        <v>39</v>
      </c>
      <c r="K35" s="9">
        <f>SUM(K8:K34)</f>
        <v>0</v>
      </c>
      <c r="L35" s="9">
        <f>SUM(L8:L34)</f>
        <v>0</v>
      </c>
      <c r="M35" s="9">
        <f>SUM(M8:M34)</f>
        <v>0</v>
      </c>
    </row>
    <row r="36" spans="1:13" ht="15.75" thickTop="1" x14ac:dyDescent="0.25">
      <c r="C36" s="31"/>
      <c r="I36" s="20"/>
      <c r="J36" s="8"/>
      <c r="K36" s="8"/>
      <c r="L36" s="8"/>
      <c r="M36" s="8"/>
    </row>
    <row r="37" spans="1:13" x14ac:dyDescent="0.25">
      <c r="A37" s="1" t="s">
        <v>19</v>
      </c>
      <c r="C37" s="31"/>
      <c r="I37" s="20"/>
      <c r="J37" s="8"/>
      <c r="K37" s="8"/>
      <c r="L37" s="8"/>
      <c r="M37" s="8"/>
    </row>
    <row r="38" spans="1:13" x14ac:dyDescent="0.25">
      <c r="B38" t="s">
        <v>20</v>
      </c>
      <c r="D38" s="11"/>
      <c r="E38" s="24"/>
      <c r="I38" s="20">
        <f>SUM(J38:N38)</f>
        <v>1</v>
      </c>
      <c r="J38" s="8">
        <v>1</v>
      </c>
      <c r="K38" s="8"/>
      <c r="L38" s="8"/>
      <c r="M38" s="8"/>
    </row>
    <row r="39" spans="1:13" x14ac:dyDescent="0.25">
      <c r="B39" t="s">
        <v>21</v>
      </c>
      <c r="I39" s="20">
        <f t="shared" ref="I39:I41" si="1">SUM(J39:N39)</f>
        <v>0</v>
      </c>
      <c r="J39" s="8"/>
      <c r="K39" s="8"/>
      <c r="L39" s="8"/>
      <c r="M39" s="8"/>
    </row>
    <row r="40" spans="1:13" x14ac:dyDescent="0.25">
      <c r="B40" t="s">
        <v>22</v>
      </c>
      <c r="I40" s="20">
        <f t="shared" si="1"/>
        <v>0</v>
      </c>
      <c r="J40" s="8"/>
      <c r="K40" s="8"/>
      <c r="L40" s="8"/>
      <c r="M40" s="8"/>
    </row>
    <row r="41" spans="1:13" x14ac:dyDescent="0.25">
      <c r="B41" t="s">
        <v>23</v>
      </c>
      <c r="I41" s="20">
        <f t="shared" si="1"/>
        <v>0</v>
      </c>
      <c r="J41" s="8"/>
      <c r="K41" s="8"/>
      <c r="L41" s="8"/>
      <c r="M41" s="8"/>
    </row>
    <row r="42" spans="1:13" x14ac:dyDescent="0.25">
      <c r="B42" t="s">
        <v>24</v>
      </c>
      <c r="I42" s="20">
        <f>SUM(J42:M42)</f>
        <v>40</v>
      </c>
      <c r="J42" s="8"/>
      <c r="K42" s="8">
        <v>40</v>
      </c>
      <c r="L42" s="8"/>
      <c r="M42" s="8"/>
    </row>
    <row r="43" spans="1:13" x14ac:dyDescent="0.25">
      <c r="I43" s="26"/>
    </row>
    <row r="44" spans="1:13" ht="15.75" thickBot="1" x14ac:dyDescent="0.3">
      <c r="A44" s="7" t="s">
        <v>25</v>
      </c>
      <c r="B44" s="27"/>
      <c r="C44" s="27"/>
      <c r="D44" s="27"/>
      <c r="E44" s="27"/>
      <c r="F44" s="27"/>
      <c r="G44" s="27"/>
      <c r="H44" s="27"/>
      <c r="I44" s="21">
        <f t="shared" ref="I44:M44" si="2">SUM(I38:I43)</f>
        <v>41</v>
      </c>
      <c r="J44" s="9">
        <f t="shared" si="2"/>
        <v>1</v>
      </c>
      <c r="K44" s="9">
        <f t="shared" si="2"/>
        <v>40</v>
      </c>
      <c r="L44" s="9">
        <f t="shared" si="2"/>
        <v>0</v>
      </c>
      <c r="M44" s="9">
        <f t="shared" si="2"/>
        <v>0</v>
      </c>
    </row>
    <row r="45" spans="1:13" ht="15.75" thickTop="1" x14ac:dyDescent="0.25">
      <c r="I45" s="20"/>
      <c r="J45" s="8"/>
      <c r="K45" s="8"/>
      <c r="L45" s="8"/>
      <c r="M45" s="8"/>
    </row>
    <row r="46" spans="1:13" ht="15.75" thickBot="1" x14ac:dyDescent="0.3">
      <c r="A46" s="7" t="s">
        <v>26</v>
      </c>
      <c r="B46" s="27"/>
      <c r="C46" s="27"/>
      <c r="D46" s="27"/>
      <c r="E46" s="27"/>
      <c r="F46" s="27"/>
      <c r="G46" s="27"/>
      <c r="H46" s="27"/>
      <c r="I46" s="21">
        <f t="shared" ref="I46:M46" si="3">+I44+I35</f>
        <v>80</v>
      </c>
      <c r="J46" s="9">
        <f t="shared" si="3"/>
        <v>40</v>
      </c>
      <c r="K46" s="9">
        <f t="shared" si="3"/>
        <v>40</v>
      </c>
      <c r="L46" s="9">
        <f t="shared" si="3"/>
        <v>0</v>
      </c>
      <c r="M46" s="9">
        <f t="shared" si="3"/>
        <v>0</v>
      </c>
    </row>
    <row r="47" spans="1:13" ht="15.75" thickTop="1" x14ac:dyDescent="0.25">
      <c r="I47" s="26"/>
    </row>
    <row r="48" spans="1:13" x14ac:dyDescent="0.25">
      <c r="I48" s="26"/>
    </row>
    <row r="49" spans="1:13" ht="15.75" thickBot="1" x14ac:dyDescent="0.3">
      <c r="A49" s="7" t="s">
        <v>27</v>
      </c>
      <c r="B49" s="27"/>
      <c r="C49" s="27"/>
      <c r="D49" s="27"/>
      <c r="E49" s="27"/>
      <c r="F49" s="27"/>
      <c r="G49" s="27"/>
      <c r="H49" s="27"/>
      <c r="I49" s="21"/>
      <c r="J49" s="9">
        <v>40</v>
      </c>
      <c r="K49" s="9">
        <v>40</v>
      </c>
      <c r="L49" s="9">
        <v>40</v>
      </c>
      <c r="M49" s="9">
        <v>40</v>
      </c>
    </row>
    <row r="50" spans="1:13" ht="16.5" thickTop="1" thickBot="1" x14ac:dyDescent="0.3">
      <c r="A50" s="7" t="s">
        <v>28</v>
      </c>
      <c r="B50" s="27"/>
      <c r="C50" s="27"/>
      <c r="D50" s="27"/>
      <c r="E50" s="27"/>
      <c r="F50" s="27"/>
      <c r="G50" s="27"/>
      <c r="H50" s="27"/>
      <c r="I50" s="21"/>
      <c r="J50" s="9">
        <f t="shared" ref="J50:M50" si="4">+J49-J46</f>
        <v>0</v>
      </c>
      <c r="K50" s="9">
        <f t="shared" si="4"/>
        <v>0</v>
      </c>
      <c r="L50" s="9">
        <f t="shared" si="4"/>
        <v>40</v>
      </c>
      <c r="M50" s="9">
        <f t="shared" si="4"/>
        <v>40</v>
      </c>
    </row>
    <row r="51" spans="1:13" ht="15.75" thickTop="1" x14ac:dyDescent="0.25"/>
  </sheetData>
  <protectedRanges>
    <protectedRange sqref="B34:C34 A38:C38 F38:XFD38 E34:I34 A8:I8 A39:XFD43 H9:I33 C10:C33 A9:A34 J8:XFD34" name="Range1"/>
    <protectedRange sqref="D9:D34" name="Range1_2"/>
    <protectedRange sqref="G11 E9:F33" name="Range1_3"/>
    <protectedRange sqref="C9" name="Range1_1_1"/>
    <protectedRange sqref="D38" name="Range1_6"/>
    <protectedRange sqref="E38" name="Range1_7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Status!$B$16:$B$23</xm:f>
          </x14:formula1>
          <xm:sqref>H9:H34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3"/>
  <sheetViews>
    <sheetView topLeftCell="A12" workbookViewId="0">
      <selection activeCell="F1" sqref="F1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17" t="s">
        <v>38</v>
      </c>
      <c r="C2" s="17" t="s">
        <v>43</v>
      </c>
    </row>
    <row r="3" spans="2:3" x14ac:dyDescent="0.25">
      <c r="B3" s="14" t="s">
        <v>39</v>
      </c>
      <c r="C3" s="15" t="s">
        <v>44</v>
      </c>
    </row>
    <row r="4" spans="2:3" x14ac:dyDescent="0.25">
      <c r="B4" s="14" t="s">
        <v>45</v>
      </c>
      <c r="C4" s="15" t="s">
        <v>46</v>
      </c>
    </row>
    <row r="5" spans="2:3" x14ac:dyDescent="0.25">
      <c r="B5" s="14" t="s">
        <v>47</v>
      </c>
      <c r="C5" s="15" t="s">
        <v>48</v>
      </c>
    </row>
    <row r="6" spans="2:3" x14ac:dyDescent="0.25">
      <c r="B6" s="14" t="s">
        <v>40</v>
      </c>
      <c r="C6" s="15" t="s">
        <v>49</v>
      </c>
    </row>
    <row r="7" spans="2:3" x14ac:dyDescent="0.25">
      <c r="B7" s="14" t="s">
        <v>50</v>
      </c>
      <c r="C7" s="15" t="s">
        <v>51</v>
      </c>
    </row>
    <row r="8" spans="2:3" x14ac:dyDescent="0.25">
      <c r="B8" s="14" t="s">
        <v>41</v>
      </c>
      <c r="C8" s="15" t="s">
        <v>52</v>
      </c>
    </row>
    <row r="9" spans="2:3" x14ac:dyDescent="0.25">
      <c r="B9" s="14" t="s">
        <v>42</v>
      </c>
      <c r="C9" s="15" t="s">
        <v>53</v>
      </c>
    </row>
    <row r="10" spans="2:3" x14ac:dyDescent="0.25">
      <c r="B10" s="14" t="s">
        <v>71</v>
      </c>
      <c r="C10" s="15" t="s">
        <v>72</v>
      </c>
    </row>
    <row r="11" spans="2:3" x14ac:dyDescent="0.25">
      <c r="B11" s="14" t="s">
        <v>54</v>
      </c>
      <c r="C11" s="15" t="s">
        <v>55</v>
      </c>
    </row>
    <row r="15" spans="2:3" ht="16.5" x14ac:dyDescent="0.25">
      <c r="B15" s="17" t="s">
        <v>56</v>
      </c>
      <c r="C15" s="17" t="s">
        <v>43</v>
      </c>
    </row>
    <row r="16" spans="2:3" x14ac:dyDescent="0.25">
      <c r="B16" s="16" t="s">
        <v>29</v>
      </c>
      <c r="C16" s="15" t="s">
        <v>57</v>
      </c>
    </row>
    <row r="17" spans="2:3" x14ac:dyDescent="0.25">
      <c r="B17" s="16" t="s">
        <v>58</v>
      </c>
      <c r="C17" s="15" t="s">
        <v>59</v>
      </c>
    </row>
    <row r="18" spans="2:3" x14ac:dyDescent="0.25">
      <c r="B18" s="16" t="s">
        <v>37</v>
      </c>
      <c r="C18" s="15" t="s">
        <v>60</v>
      </c>
    </row>
    <row r="19" spans="2:3" x14ac:dyDescent="0.25">
      <c r="B19" s="16" t="s">
        <v>17</v>
      </c>
      <c r="C19" s="15" t="s">
        <v>61</v>
      </c>
    </row>
    <row r="20" spans="2:3" x14ac:dyDescent="0.25">
      <c r="B20" s="16" t="s">
        <v>30</v>
      </c>
      <c r="C20" s="15" t="s">
        <v>62</v>
      </c>
    </row>
    <row r="21" spans="2:3" x14ac:dyDescent="0.25">
      <c r="B21" s="16" t="s">
        <v>31</v>
      </c>
      <c r="C21" s="15" t="s">
        <v>63</v>
      </c>
    </row>
    <row r="22" spans="2:3" x14ac:dyDescent="0.25">
      <c r="B22" s="16" t="s">
        <v>64</v>
      </c>
      <c r="C22" s="15" t="s">
        <v>65</v>
      </c>
    </row>
    <row r="23" spans="2:3" x14ac:dyDescent="0.25">
      <c r="B23" s="16" t="s">
        <v>36</v>
      </c>
      <c r="C23" s="15" t="s">
        <v>66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18" sqref="A18"/>
    </sheetView>
  </sheetViews>
  <sheetFormatPr defaultRowHeight="15" x14ac:dyDescent="0.25"/>
  <cols>
    <col min="1" max="1" width="124.28515625" bestFit="1" customWidth="1"/>
  </cols>
  <sheetData>
    <row r="1" spans="1:1" s="11" customFormat="1" ht="16.5" thickBot="1" x14ac:dyDescent="0.3">
      <c r="A1" s="13" t="s">
        <v>32</v>
      </c>
    </row>
    <row r="2" spans="1:1" s="11" customFormat="1" ht="15.75" x14ac:dyDescent="0.25">
      <c r="A2" s="12"/>
    </row>
    <row r="3" spans="1:1" s="11" customFormat="1" ht="15.75" x14ac:dyDescent="0.25">
      <c r="A3" s="10" t="s">
        <v>69</v>
      </c>
    </row>
    <row r="4" spans="1:1" s="11" customFormat="1" ht="15.75" x14ac:dyDescent="0.25">
      <c r="A4" s="12"/>
    </row>
    <row r="5" spans="1:1" s="11" customFormat="1" ht="15.75" x14ac:dyDescent="0.25">
      <c r="A5" s="12"/>
    </row>
    <row r="6" spans="1:1" s="11" customFormat="1" ht="15.75" x14ac:dyDescent="0.25">
      <c r="A6" s="12"/>
    </row>
    <row r="7" spans="1:1" ht="15.75" x14ac:dyDescent="0.25">
      <c r="A7" s="10" t="s">
        <v>33</v>
      </c>
    </row>
    <row r="8" spans="1:1" ht="15.75" x14ac:dyDescent="0.25">
      <c r="A8" s="10" t="s">
        <v>70</v>
      </c>
    </row>
    <row r="9" spans="1:1" ht="15.75" x14ac:dyDescent="0.25">
      <c r="A9" s="10" t="s">
        <v>68</v>
      </c>
    </row>
    <row r="10" spans="1:1" ht="15.75" x14ac:dyDescent="0.25">
      <c r="A10" s="10" t="s">
        <v>34</v>
      </c>
    </row>
    <row r="11" spans="1:1" ht="15.75" x14ac:dyDescent="0.25">
      <c r="A11" s="10" t="s">
        <v>35</v>
      </c>
    </row>
    <row r="12" spans="1:1" ht="15.75" x14ac:dyDescent="0.25">
      <c r="A12" s="10" t="s">
        <v>67</v>
      </c>
    </row>
    <row r="14" spans="1:1" x14ac:dyDescent="0.25">
      <c r="A14" s="19"/>
    </row>
    <row r="15" spans="1:1" x14ac:dyDescent="0.25">
      <c r="A15" s="19"/>
    </row>
    <row r="16" spans="1:1" x14ac:dyDescent="0.25">
      <c r="A16" s="19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Sandeep Chavda</cp:lastModifiedBy>
  <cp:revision/>
  <dcterms:created xsi:type="dcterms:W3CDTF">2015-06-05T18:17:20Z</dcterms:created>
  <dcterms:modified xsi:type="dcterms:W3CDTF">2026-05-04T07:19:34Z</dcterms:modified>
  <cp:category/>
  <cp:contentStatus/>
</cp:coreProperties>
</file>