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BE9CB77C-0227-4467-8CCD-D8FDBAD52A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definedNames>
    <definedName name="_xlnm._FilterDatabase" localSheetId="0" hidden="1">WIP!$A$7:$K$95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107" i="1"/>
  <c r="I37" i="1"/>
  <c r="I9" i="1"/>
  <c r="I10" i="1"/>
  <c r="I11" i="1"/>
  <c r="I12" i="1"/>
  <c r="I13" i="1"/>
  <c r="I14" i="1"/>
  <c r="I60" i="1"/>
  <c r="I61" i="1"/>
  <c r="I15" i="1"/>
  <c r="I16" i="1"/>
  <c r="I62" i="1"/>
  <c r="I17" i="1"/>
  <c r="I18" i="1"/>
  <c r="I19" i="1"/>
  <c r="I20" i="1"/>
  <c r="I63" i="1"/>
  <c r="I64" i="1"/>
  <c r="I21" i="1"/>
  <c r="I22" i="1"/>
  <c r="I65" i="1"/>
  <c r="I23" i="1"/>
  <c r="I24" i="1"/>
  <c r="I25" i="1"/>
  <c r="I26" i="1"/>
  <c r="I27" i="1"/>
  <c r="I28" i="1"/>
  <c r="I29" i="1"/>
  <c r="I30" i="1"/>
  <c r="I31" i="1"/>
  <c r="I32" i="1"/>
  <c r="I66" i="1"/>
  <c r="I83" i="1"/>
  <c r="I84" i="1"/>
  <c r="I85" i="1"/>
  <c r="I67" i="1"/>
  <c r="I68" i="1"/>
  <c r="I69" i="1"/>
  <c r="I86" i="1"/>
  <c r="I87" i="1"/>
  <c r="I70" i="1"/>
  <c r="I71" i="1"/>
  <c r="I72" i="1"/>
  <c r="I73" i="1"/>
  <c r="I74" i="1"/>
  <c r="I75" i="1"/>
  <c r="I76" i="1"/>
  <c r="I77" i="1"/>
  <c r="I88" i="1"/>
  <c r="I38" i="1"/>
  <c r="I33" i="1"/>
  <c r="I39" i="1"/>
  <c r="I40" i="1"/>
  <c r="I41" i="1"/>
  <c r="I89" i="1"/>
  <c r="I42" i="1"/>
  <c r="I78" i="1"/>
  <c r="I79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34" i="1"/>
  <c r="I90" i="1"/>
  <c r="I91" i="1"/>
  <c r="I92" i="1"/>
  <c r="I80" i="1"/>
  <c r="I93" i="1"/>
  <c r="I81" i="1"/>
  <c r="I94" i="1"/>
  <c r="I82" i="1"/>
  <c r="I95" i="1"/>
  <c r="I35" i="1"/>
  <c r="I8" i="1"/>
  <c r="K6" i="1" l="1"/>
  <c r="I103" i="1"/>
  <c r="I98" i="1"/>
  <c r="K100" i="1" l="1"/>
  <c r="K109" i="1"/>
  <c r="K111" i="1" l="1"/>
  <c r="K115" i="1" s="1"/>
  <c r="I106" i="1" l="1"/>
  <c r="I105" i="1"/>
  <c r="I104" i="1"/>
  <c r="I109" i="1" l="1"/>
  <c r="I100" i="1" l="1"/>
  <c r="J100" i="1"/>
  <c r="J109" i="1"/>
  <c r="J111" i="1" l="1"/>
  <c r="J115" i="1" s="1"/>
  <c r="I111" i="1"/>
</calcChain>
</file>

<file path=xl/sharedStrings.xml><?xml version="1.0" encoding="utf-8"?>
<sst xmlns="http://schemas.openxmlformats.org/spreadsheetml/2006/main" count="373" uniqueCount="147">
  <si>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</si>
  <si>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</si>
  <si>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</si>
  <si>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</si>
  <si>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</si>
  <si>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</si>
  <si>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</si>
  <si>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</si>
  <si>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</si>
  <si>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</si>
  <si>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</si>
  <si>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</si>
  <si>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</si>
  <si>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</si>
  <si>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</si>
  <si>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</si>
  <si>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</si>
  <si>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</si>
  <si>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</si>
  <si>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</si>
  <si>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</si>
  <si>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</si>
  <si>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</si>
  <si>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</si>
  <si>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</si>
  <si>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</si>
  <si>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</si>
  <si>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</si>
  <si>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</si>
  <si>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</si>
  <si>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</si>
  <si>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</si>
  <si>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</si>
  <si>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</si>
  <si>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</si>
  <si>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</si>
  <si>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</si>
  <si>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</si>
  <si>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</si>
  <si>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</si>
  <si>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</si>
  <si>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</si>
  <si>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</si>
  <si>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</si>
  <si>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</si>
  <si>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</si>
  <si>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</si>
  <si>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</si>
  <si>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</si>
  <si>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</si>
  <si>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</si>
  <si>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</si>
  <si>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</si>
  <si>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</si>
  <si>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</si>
  <si>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</si>
  <si>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</si>
  <si>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</si>
  <si>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</si>
  <si>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</si>
  <si>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</si>
  <si>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</si>
  <si>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</si>
  <si>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</si>
  <si>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</si>
  <si>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</si>
  <si>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</si>
  <si>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</si>
  <si>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</si>
  <si>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</si>
  <si>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Convery CPA</t>
  </si>
  <si>
    <t>Jainam Appa</t>
  </si>
  <si>
    <t>Bella G's Beauty Lounge LLC</t>
  </si>
  <si>
    <t>Gone Dancing Inc</t>
  </si>
  <si>
    <t>Florida Coastal Carpentry LLC</t>
  </si>
  <si>
    <t>Pai Ip Law &amp; Consulting, Inc</t>
  </si>
  <si>
    <t>Infinity Reinforcing Inc</t>
  </si>
  <si>
    <t>Comp LLC</t>
  </si>
  <si>
    <t>Darren Peterson, PLLC</t>
  </si>
  <si>
    <t>Aaryan Thakkar</t>
  </si>
  <si>
    <t>Semi-Senior</t>
  </si>
  <si>
    <t>Grill &amp; Hearth Inc</t>
  </si>
  <si>
    <t>Welcome Home Real Estate LLC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</si>
  <si>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</si>
  <si>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</si>
  <si>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</si>
  <si>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</si>
  <si>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</si>
  <si>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</si>
  <si>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Clarke Public Accounting, Co.</t>
  </si>
  <si>
    <t>Conscious Accounting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</si>
  <si>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</si>
  <si>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</si>
  <si>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</si>
  <si>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</si>
  <si>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</si>
  <si>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</si>
  <si>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</si>
  <si>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</si>
  <si>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</si>
  <si>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</si>
  <si>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</si>
  <si>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</si>
  <si>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</si>
  <si>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</si>
  <si>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</si>
  <si>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</si>
  <si>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</si>
  <si>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</si>
  <si>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</si>
  <si>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</si>
  <si>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Gurram Tax, LLC</t>
  </si>
  <si>
    <t>Palma Financial</t>
  </si>
  <si>
    <t>MJC Builders Inc</t>
  </si>
  <si>
    <t>Developwork, LLC</t>
  </si>
  <si>
    <t>ESM Environmental Services LLC</t>
  </si>
  <si>
    <t>DC Cleaning Solutions &amp; More LLC</t>
  </si>
  <si>
    <t>New Trail Marketing LLC</t>
  </si>
  <si>
    <t>Stonewood Sales, Inc</t>
  </si>
  <si>
    <t>Rhino Property Services Inc</t>
  </si>
  <si>
    <t>LUSOSYSTEMS INC</t>
  </si>
  <si>
    <t>Arla Inc</t>
  </si>
  <si>
    <t>MICHELLE R DAVIS PA</t>
  </si>
  <si>
    <t>Premium Dent Repair, Inc.</t>
  </si>
  <si>
    <t>SOUTHERN TABLE LLC</t>
  </si>
  <si>
    <t>BRITE DECKS,INC.</t>
  </si>
  <si>
    <t>Timberline Construction, LLC</t>
  </si>
  <si>
    <t>Bunnell Auto Supply Co, Inc</t>
  </si>
  <si>
    <t>Andrew King Mobile Welding, Inc</t>
  </si>
  <si>
    <t>House of Tiles Inc</t>
  </si>
  <si>
    <t>DLC Marketing &amp; Consulting, LLC</t>
  </si>
  <si>
    <t>R&amp;M Restaurant CO., LLC</t>
  </si>
  <si>
    <t>Law and Mediation Office of Darren M Shapir</t>
  </si>
  <si>
    <t>Florida Coastal Health &amp; Wellness LLC</t>
  </si>
  <si>
    <t>Week 3</t>
  </si>
  <si>
    <t>Week 4</t>
  </si>
  <si>
    <t>Acevedo's Reliable Auto Repair, LLC</t>
  </si>
  <si>
    <t>MPower Fitness Management Group LLC</t>
  </si>
  <si>
    <t>Vox Xoy, LLC</t>
  </si>
  <si>
    <t>Superstition Tattoo, Inc</t>
  </si>
  <si>
    <t>HARRIS GROCERY,INC.</t>
  </si>
  <si>
    <t>BBS Holding Company USA Inc</t>
  </si>
  <si>
    <t>Jose Artigas Handyman Services Inc</t>
  </si>
  <si>
    <t>Olive Press Co, LLC</t>
  </si>
  <si>
    <t>Catherine Ganem Inc</t>
  </si>
  <si>
    <t>RAF Carpentry, LLC</t>
  </si>
  <si>
    <t>MEZZALUNA PIZZERIA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</si>
</sst>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43" fontId="0" fillId="5" borderId="0" xfId="1" applyFont="1" applyFill="1"/>
    <xf numFmtId="43" fontId="1" fillId="5" borderId="1" xfId="1" applyFont="1" applyFill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43" fontId="0" fillId="5" borderId="0" xfId="1" applyFont="1" applyFill="1" applyAlignment="1">
      <alignment horizontal="center" vertical="center"/>
    </xf>
    <xf numFmtId="0" fontId="8" fillId="0" borderId="0" xfId="0" applyFont="1"/>
    <xf numFmtId="0" fontId="1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"/>
  <sheetViews>
    <sheetView tabSelected="1" zoomScale="85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22" sqref="C22"/>
    </sheetView>
  </sheetViews>
  <sheetFormatPr defaultRowHeight="15" x14ac:dyDescent="0.25"/>
  <cols>
    <col min="1" max="1" width="24.5703125" bestFit="1" customWidth="1"/>
    <col min="2" max="2" width="25.140625" customWidth="1"/>
    <col min="3" max="3" width="46.28515625" bestFit="1" customWidth="1"/>
    <col min="4" max="4" width="43.28515625" style="36" bestFit="1" customWidth="1"/>
    <col min="5" max="5" width="13.7109375" bestFit="1" customWidth="1"/>
    <col min="6" max="6" width="11.7109375" customWidth="1"/>
    <col min="7" max="7" width="13.140625" customWidth="1"/>
    <col min="8" max="8" width="17.5703125" customWidth="1"/>
    <col min="9" max="9" width="22.140625" bestFit="1" customWidth="1"/>
    <col min="10" max="11" width="10.85546875" bestFit="1" customWidth="1"/>
  </cols>
  <sheetData>
    <row r="1" spans="1:11" x14ac:dyDescent="0.25">
      <c r="A1" s="1" t="s">
        <v>0</v>
      </c>
      <c r="H1" s="10"/>
    </row>
    <row r="2" spans="1:11" x14ac:dyDescent="0.25">
      <c r="A2" s="1" t="s">
        <v>1</v>
      </c>
      <c r="B2" s="9" t="s">
        <v>79</v>
      </c>
      <c r="C2" s="9"/>
      <c r="H2" s="1"/>
      <c r="I2" s="1"/>
    </row>
    <row r="3" spans="1:11" x14ac:dyDescent="0.25">
      <c r="A3" s="1" t="s">
        <v>2</v>
      </c>
      <c r="B3" s="9" t="s">
        <v>80</v>
      </c>
      <c r="C3" s="9"/>
      <c r="H3" s="1"/>
      <c r="I3" s="1"/>
    </row>
    <row r="4" spans="1:11" x14ac:dyDescent="0.25">
      <c r="A4" s="1" t="s">
        <v>3</v>
      </c>
      <c r="B4" s="9" t="s">
        <v>71</v>
      </c>
      <c r="C4" s="9"/>
      <c r="H4" s="1"/>
      <c r="I4" s="1"/>
    </row>
    <row r="5" spans="1:11" x14ac:dyDescent="0.25">
      <c r="A5" s="1"/>
      <c r="B5" s="9"/>
    </row>
    <row r="6" spans="1:11" x14ac:dyDescent="0.25">
      <c r="I6" s="7" t="s">
        <v>4</v>
      </c>
      <c r="J6" s="2">
        <v>46146</v>
      </c>
      <c r="K6" s="2">
        <f t="shared" ref="K6" si="0">J6+7</f>
        <v>46153</v>
      </c>
    </row>
    <row r="7" spans="1:11" s="1" customFormat="1" ht="30" x14ac:dyDescent="0.25">
      <c r="A7" s="3" t="s">
        <v>5</v>
      </c>
      <c r="B7" s="3" t="s">
        <v>6</v>
      </c>
      <c r="C7" s="3" t="s">
        <v>7</v>
      </c>
      <c r="D7" s="22" t="s">
        <v>35</v>
      </c>
      <c r="E7" s="3" t="s">
        <v>8</v>
      </c>
      <c r="F7" s="3" t="s">
        <v>9</v>
      </c>
      <c r="G7" s="3" t="s">
        <v>10</v>
      </c>
      <c r="H7" s="22" t="s">
        <v>11</v>
      </c>
      <c r="I7" s="22" t="s">
        <v>12</v>
      </c>
      <c r="J7" s="3" t="s">
        <v>134</v>
      </c>
      <c r="K7" s="3" t="s">
        <v>135</v>
      </c>
    </row>
    <row r="8" spans="1:11" x14ac:dyDescent="0.25">
      <c r="A8" s="27">
        <v>1</v>
      </c>
      <c r="B8" s="28" t="s">
        <v>70</v>
      </c>
      <c r="C8" s="32" t="s">
        <v>72</v>
      </c>
      <c r="D8" s="35" t="s">
        <v>37</v>
      </c>
      <c r="E8" s="30">
        <v>46146</v>
      </c>
      <c r="F8" s="2"/>
      <c r="G8" s="2"/>
      <c r="H8" s="29"/>
      <c r="I8" s="31">
        <f>SUM(J8:K8)</f>
        <v>3</v>
      </c>
      <c r="J8">
        <v>3</v>
      </c>
    </row>
    <row r="9" spans="1:11" x14ac:dyDescent="0.25">
      <c r="A9" s="27">
        <v>2</v>
      </c>
      <c r="B9" s="28" t="s">
        <v>70</v>
      </c>
      <c r="C9" s="32" t="s">
        <v>139</v>
      </c>
      <c r="D9" s="35" t="s">
        <v>37</v>
      </c>
      <c r="E9" s="30">
        <v>46146</v>
      </c>
      <c r="F9" s="2"/>
      <c r="G9" s="2"/>
      <c r="H9" s="29"/>
      <c r="I9" s="31">
        <f>SUM(J9:K9)</f>
        <v>1.25</v>
      </c>
      <c r="J9">
        <v>1.25</v>
      </c>
    </row>
    <row r="10" spans="1:11" x14ac:dyDescent="0.25">
      <c r="A10" s="27">
        <v>3</v>
      </c>
      <c r="B10" s="28" t="s">
        <v>70</v>
      </c>
      <c r="C10" s="32" t="s">
        <v>140</v>
      </c>
      <c r="D10" s="35" t="s">
        <v>37</v>
      </c>
      <c r="E10" s="30">
        <v>46146</v>
      </c>
      <c r="F10" s="2"/>
      <c r="G10" s="2"/>
      <c r="H10" s="29"/>
      <c r="I10" s="31">
        <f>SUM(J10:K10)</f>
        <v>0.5</v>
      </c>
      <c r="J10">
        <v>0.5</v>
      </c>
    </row>
    <row r="11" spans="1:11" x14ac:dyDescent="0.25">
      <c r="A11" s="27">
        <v>4</v>
      </c>
      <c r="B11" s="28" t="s">
        <v>70</v>
      </c>
      <c r="C11" s="32" t="s">
        <v>138</v>
      </c>
      <c r="D11" s="35" t="s">
        <v>37</v>
      </c>
      <c r="E11" s="30">
        <v>46146</v>
      </c>
      <c r="F11" s="2"/>
      <c r="G11" s="2"/>
      <c r="H11" s="29"/>
      <c r="I11" s="31">
        <f>SUM(J11:K11)</f>
        <v>1</v>
      </c>
      <c r="J11">
        <v>1</v>
      </c>
    </row>
    <row r="12" spans="1:11" x14ac:dyDescent="0.25">
      <c r="A12" s="27">
        <v>5</v>
      </c>
      <c r="B12" s="28" t="s">
        <v>70</v>
      </c>
      <c r="C12" s="32" t="s">
        <v>138</v>
      </c>
      <c r="D12" s="35" t="s">
        <v>37</v>
      </c>
      <c r="E12" s="30">
        <v>46146</v>
      </c>
      <c r="F12" s="2"/>
      <c r="G12" s="2"/>
      <c r="H12" s="29"/>
      <c r="I12" s="31">
        <f>SUM(J12:K12)</f>
        <v>1</v>
      </c>
      <c r="J12">
        <v>1</v>
      </c>
    </row>
    <row r="13" spans="1:11" x14ac:dyDescent="0.25">
      <c r="A13" s="27">
        <v>6</v>
      </c>
      <c r="B13" s="28" t="s">
        <v>70</v>
      </c>
      <c r="C13" s="32" t="s">
        <v>136</v>
      </c>
      <c r="D13" s="35" t="s">
        <v>37</v>
      </c>
      <c r="E13" s="30">
        <v>46146</v>
      </c>
      <c r="F13" s="2"/>
      <c r="G13" s="2"/>
      <c r="H13" s="29"/>
      <c r="I13" s="31">
        <f>SUM(J13:K13)</f>
        <v>0.5</v>
      </c>
      <c r="J13">
        <v>0.5</v>
      </c>
    </row>
    <row r="14" spans="1:11" x14ac:dyDescent="0.25">
      <c r="A14" s="27">
        <v>7</v>
      </c>
      <c r="B14" s="28" t="s">
        <v>70</v>
      </c>
      <c r="C14" s="32" t="s">
        <v>136</v>
      </c>
      <c r="D14" s="35" t="s">
        <v>37</v>
      </c>
      <c r="E14" s="30">
        <v>46146</v>
      </c>
      <c r="F14" s="2"/>
      <c r="G14" s="2"/>
      <c r="H14" s="29"/>
      <c r="I14" s="31">
        <f>SUM(J14:K14)</f>
        <v>0.5</v>
      </c>
      <c r="J14">
        <v>0.5</v>
      </c>
    </row>
    <row r="15" spans="1:11" x14ac:dyDescent="0.25">
      <c r="A15" s="27">
        <v>8</v>
      </c>
      <c r="B15" s="28" t="s">
        <v>70</v>
      </c>
      <c r="C15" s="32" t="s">
        <v>81</v>
      </c>
      <c r="D15" s="35" t="s">
        <v>37</v>
      </c>
      <c r="E15" s="30">
        <v>46146</v>
      </c>
      <c r="F15" s="2"/>
      <c r="G15" s="2"/>
      <c r="H15" s="29"/>
      <c r="I15" s="31">
        <f>SUM(J15:K15)</f>
        <v>0.5</v>
      </c>
      <c r="J15">
        <v>0.5</v>
      </c>
    </row>
    <row r="16" spans="1:11" x14ac:dyDescent="0.25">
      <c r="A16" s="27">
        <v>9</v>
      </c>
      <c r="B16" s="28" t="s">
        <v>70</v>
      </c>
      <c r="C16" s="32" t="s">
        <v>76</v>
      </c>
      <c r="D16" s="35" t="s">
        <v>37</v>
      </c>
      <c r="E16" s="30">
        <v>46146</v>
      </c>
      <c r="F16" s="2"/>
      <c r="G16" s="2"/>
      <c r="H16" s="29"/>
      <c r="I16" s="31">
        <f>SUM(J16:K16)</f>
        <v>0.5</v>
      </c>
      <c r="J16">
        <v>0.5</v>
      </c>
    </row>
    <row r="17" spans="1:10" x14ac:dyDescent="0.25">
      <c r="A17" s="27">
        <v>10</v>
      </c>
      <c r="B17" s="28" t="s">
        <v>70</v>
      </c>
      <c r="C17" s="32" t="s">
        <v>137</v>
      </c>
      <c r="D17" s="35" t="s">
        <v>37</v>
      </c>
      <c r="E17" s="30">
        <v>46146</v>
      </c>
      <c r="F17" s="2"/>
      <c r="G17" s="2"/>
      <c r="H17" s="29"/>
      <c r="I17" s="31">
        <f>SUM(J17:K17)</f>
        <v>0.5</v>
      </c>
      <c r="J17">
        <v>0.5</v>
      </c>
    </row>
    <row r="18" spans="1:10" x14ac:dyDescent="0.25">
      <c r="A18" s="27">
        <v>11</v>
      </c>
      <c r="B18" s="28" t="s">
        <v>70</v>
      </c>
      <c r="C18" s="32" t="s">
        <v>118</v>
      </c>
      <c r="D18" s="35" t="s">
        <v>37</v>
      </c>
      <c r="E18" s="30">
        <v>46146</v>
      </c>
      <c r="F18" s="2"/>
      <c r="G18" s="2"/>
      <c r="H18" s="29"/>
      <c r="I18" s="31">
        <f>SUM(J18:K18)</f>
        <v>0.5</v>
      </c>
      <c r="J18">
        <v>0.5</v>
      </c>
    </row>
    <row r="19" spans="1:10" x14ac:dyDescent="0.25">
      <c r="A19" s="27">
        <v>12</v>
      </c>
      <c r="B19" s="28" t="s">
        <v>70</v>
      </c>
      <c r="C19" s="32" t="s">
        <v>136</v>
      </c>
      <c r="D19" s="35" t="s">
        <v>37</v>
      </c>
      <c r="E19" s="30">
        <v>46146</v>
      </c>
      <c r="F19" s="2"/>
      <c r="G19" s="2"/>
      <c r="H19" s="29"/>
      <c r="I19" s="31">
        <f>SUM(J19:K19)</f>
        <v>0.5</v>
      </c>
      <c r="J19">
        <v>0.5</v>
      </c>
    </row>
    <row r="20" spans="1:10" x14ac:dyDescent="0.25">
      <c r="A20" s="27">
        <v>13</v>
      </c>
      <c r="B20" s="28" t="s">
        <v>70</v>
      </c>
      <c r="C20" s="32" t="s">
        <v>136</v>
      </c>
      <c r="D20" s="35" t="s">
        <v>37</v>
      </c>
      <c r="E20" s="30">
        <v>46146</v>
      </c>
      <c r="F20" s="2"/>
      <c r="G20" s="2"/>
      <c r="H20" s="29"/>
      <c r="I20" s="31">
        <f>SUM(J20:K20)</f>
        <v>0.5</v>
      </c>
      <c r="J20">
        <v>0.5</v>
      </c>
    </row>
    <row r="21" spans="1:10" x14ac:dyDescent="0.25">
      <c r="A21" s="27">
        <v>14</v>
      </c>
      <c r="B21" s="28" t="s">
        <v>70</v>
      </c>
      <c r="C21" s="32" t="s">
        <v>81</v>
      </c>
      <c r="D21" s="35" t="s">
        <v>37</v>
      </c>
      <c r="E21" s="30">
        <v>46146</v>
      </c>
      <c r="F21" s="2"/>
      <c r="G21" s="2"/>
      <c r="H21" s="29"/>
      <c r="I21" s="31">
        <f>SUM(J21:K21)</f>
        <v>0.5</v>
      </c>
      <c r="J21">
        <v>0.5</v>
      </c>
    </row>
    <row r="22" spans="1:10" x14ac:dyDescent="0.25">
      <c r="A22" s="27">
        <v>15</v>
      </c>
      <c r="B22" s="28" t="s">
        <v>70</v>
      </c>
      <c r="C22" s="32" t="s">
        <v>76</v>
      </c>
      <c r="D22" s="35" t="s">
        <v>37</v>
      </c>
      <c r="E22" s="30">
        <v>46146</v>
      </c>
      <c r="F22" s="2"/>
      <c r="G22" s="2"/>
      <c r="H22" s="29"/>
      <c r="I22" s="31">
        <f>SUM(J22:K22)</f>
        <v>0.5</v>
      </c>
      <c r="J22">
        <v>0.5</v>
      </c>
    </row>
    <row r="23" spans="1:10" x14ac:dyDescent="0.25">
      <c r="A23" s="27">
        <v>16</v>
      </c>
      <c r="B23" s="28" t="s">
        <v>70</v>
      </c>
      <c r="C23" s="32" t="s">
        <v>137</v>
      </c>
      <c r="D23" s="35" t="s">
        <v>37</v>
      </c>
      <c r="E23" s="30">
        <v>46146</v>
      </c>
      <c r="F23" s="2"/>
      <c r="G23" s="2"/>
      <c r="H23" s="29"/>
      <c r="I23" s="31">
        <f>SUM(J23:K23)</f>
        <v>0.5</v>
      </c>
      <c r="J23">
        <v>0.5</v>
      </c>
    </row>
    <row r="24" spans="1:10" x14ac:dyDescent="0.25">
      <c r="A24" s="27">
        <v>17</v>
      </c>
      <c r="B24" s="28" t="s">
        <v>70</v>
      </c>
      <c r="C24" s="32" t="s">
        <v>118</v>
      </c>
      <c r="D24" s="35" t="s">
        <v>37</v>
      </c>
      <c r="E24" s="30">
        <v>46146</v>
      </c>
      <c r="F24" s="2"/>
      <c r="G24" s="2"/>
      <c r="H24" s="29"/>
      <c r="I24" s="31">
        <f>SUM(J24:K24)</f>
        <v>0.5</v>
      </c>
      <c r="J24">
        <v>0.5</v>
      </c>
    </row>
    <row r="25" spans="1:10" x14ac:dyDescent="0.25">
      <c r="A25" s="27">
        <v>18</v>
      </c>
      <c r="B25" s="28" t="s">
        <v>70</v>
      </c>
      <c r="C25" s="32" t="s">
        <v>124</v>
      </c>
      <c r="D25" s="35" t="s">
        <v>37</v>
      </c>
      <c r="E25" s="30">
        <v>46146</v>
      </c>
      <c r="F25" s="2"/>
      <c r="G25" s="2"/>
      <c r="H25" s="29"/>
      <c r="I25" s="31">
        <f>SUM(J25:K25)</f>
        <v>0.5</v>
      </c>
      <c r="J25">
        <v>0.5</v>
      </c>
    </row>
    <row r="26" spans="1:10" x14ac:dyDescent="0.25">
      <c r="A26" s="27">
        <v>19</v>
      </c>
      <c r="B26" s="28" t="s">
        <v>70</v>
      </c>
      <c r="C26" s="32" t="s">
        <v>124</v>
      </c>
      <c r="D26" s="35" t="s">
        <v>37</v>
      </c>
      <c r="E26" s="30">
        <v>46146</v>
      </c>
      <c r="F26" s="2"/>
      <c r="G26" s="2"/>
      <c r="H26" s="29"/>
      <c r="I26" s="31">
        <f>SUM(J26:K26)</f>
        <v>0.5</v>
      </c>
      <c r="J26">
        <v>0.5</v>
      </c>
    </row>
    <row r="27" spans="1:10" x14ac:dyDescent="0.25">
      <c r="A27" s="27">
        <v>20</v>
      </c>
      <c r="B27" s="28" t="s">
        <v>70</v>
      </c>
      <c r="C27" s="32" t="s">
        <v>125</v>
      </c>
      <c r="D27" s="35" t="s">
        <v>37</v>
      </c>
      <c r="E27" s="30">
        <v>46146</v>
      </c>
      <c r="F27" s="2"/>
      <c r="G27" s="2"/>
      <c r="H27" s="29"/>
      <c r="I27" s="31">
        <f>SUM(J27:K27)</f>
        <v>0.5</v>
      </c>
      <c r="J27">
        <v>0.5</v>
      </c>
    </row>
    <row r="28" spans="1:10" x14ac:dyDescent="0.25">
      <c r="A28" s="27">
        <v>21</v>
      </c>
      <c r="B28" s="28" t="s">
        <v>70</v>
      </c>
      <c r="C28" s="32" t="s">
        <v>76</v>
      </c>
      <c r="D28" s="35" t="s">
        <v>37</v>
      </c>
      <c r="E28" s="30">
        <v>46146</v>
      </c>
      <c r="F28" s="2"/>
      <c r="G28" s="2"/>
      <c r="H28" s="29"/>
      <c r="I28" s="31">
        <f>SUM(J28:K28)</f>
        <v>0.5</v>
      </c>
      <c r="J28">
        <v>0.5</v>
      </c>
    </row>
    <row r="29" spans="1:10" x14ac:dyDescent="0.25">
      <c r="A29" s="27">
        <v>22</v>
      </c>
      <c r="B29" s="28" t="s">
        <v>70</v>
      </c>
      <c r="C29" s="32" t="s">
        <v>137</v>
      </c>
      <c r="D29" s="35" t="s">
        <v>37</v>
      </c>
      <c r="E29" s="30">
        <v>46146</v>
      </c>
      <c r="F29" s="2"/>
      <c r="G29" s="2"/>
      <c r="H29" s="29"/>
      <c r="I29" s="31">
        <f>SUM(J29:K29)</f>
        <v>0.5</v>
      </c>
      <c r="J29">
        <v>0.5</v>
      </c>
    </row>
    <row r="30" spans="1:10" x14ac:dyDescent="0.25">
      <c r="A30" s="27">
        <v>23</v>
      </c>
      <c r="B30" s="28" t="s">
        <v>70</v>
      </c>
      <c r="C30" s="32" t="s">
        <v>131</v>
      </c>
      <c r="D30" s="35" t="s">
        <v>37</v>
      </c>
      <c r="E30" s="30">
        <v>46146</v>
      </c>
      <c r="F30" s="2"/>
      <c r="G30" s="2"/>
      <c r="H30" s="29"/>
      <c r="I30" s="31">
        <f>SUM(J30:K30)</f>
        <v>0.5</v>
      </c>
      <c r="J30">
        <v>0.5</v>
      </c>
    </row>
    <row r="31" spans="1:10" x14ac:dyDescent="0.25">
      <c r="A31" s="27">
        <v>24</v>
      </c>
      <c r="B31" s="28" t="s">
        <v>70</v>
      </c>
      <c r="C31" s="32" t="s">
        <v>126</v>
      </c>
      <c r="D31" s="35" t="s">
        <v>37</v>
      </c>
      <c r="E31" s="30">
        <v>46146</v>
      </c>
      <c r="F31" s="2"/>
      <c r="G31" s="2"/>
      <c r="H31" s="29"/>
      <c r="I31" s="31">
        <f>SUM(J31:K31)</f>
        <v>0.5</v>
      </c>
      <c r="J31">
        <v>0.5</v>
      </c>
    </row>
    <row r="32" spans="1:10" x14ac:dyDescent="0.25">
      <c r="A32" s="27">
        <v>25</v>
      </c>
      <c r="B32" s="28" t="s">
        <v>70</v>
      </c>
      <c r="C32" s="32" t="s">
        <v>82</v>
      </c>
      <c r="D32" s="35" t="s">
        <v>37</v>
      </c>
      <c r="E32" s="30">
        <v>46146</v>
      </c>
      <c r="F32" s="2"/>
      <c r="G32" s="2"/>
      <c r="H32" s="29"/>
      <c r="I32" s="31">
        <f>SUM(J32:K32)</f>
        <v>0.75</v>
      </c>
      <c r="J32">
        <v>0.75</v>
      </c>
    </row>
    <row r="33" spans="1:11" x14ac:dyDescent="0.25">
      <c r="A33" s="27">
        <v>26</v>
      </c>
      <c r="B33" s="28" t="s">
        <v>70</v>
      </c>
      <c r="C33" s="32" t="s">
        <v>136</v>
      </c>
      <c r="D33" s="35" t="s">
        <v>37</v>
      </c>
      <c r="E33" s="30">
        <v>46146</v>
      </c>
      <c r="F33" s="2"/>
      <c r="G33" s="2"/>
      <c r="H33" s="29"/>
      <c r="I33" s="31">
        <f>SUM(J33:K33)</f>
        <v>1</v>
      </c>
      <c r="J33">
        <v>1</v>
      </c>
    </row>
    <row r="34" spans="1:11" x14ac:dyDescent="0.25">
      <c r="A34" s="27">
        <v>27</v>
      </c>
      <c r="B34" s="28" t="s">
        <v>70</v>
      </c>
      <c r="C34" s="32" t="s">
        <v>130</v>
      </c>
      <c r="D34" s="35" t="s">
        <v>37</v>
      </c>
      <c r="E34" s="30">
        <v>46153</v>
      </c>
      <c r="F34" s="2"/>
      <c r="G34" s="2"/>
      <c r="H34" s="29"/>
      <c r="I34" s="31">
        <f>SUM(K34:K34)</f>
        <v>0.75</v>
      </c>
      <c r="K34">
        <v>0.75</v>
      </c>
    </row>
    <row r="35" spans="1:11" x14ac:dyDescent="0.25">
      <c r="A35" s="27">
        <v>28</v>
      </c>
      <c r="B35" s="28" t="s">
        <v>70</v>
      </c>
      <c r="C35" s="32" t="s">
        <v>119</v>
      </c>
      <c r="D35" s="35" t="s">
        <v>37</v>
      </c>
      <c r="E35" s="30">
        <v>46153</v>
      </c>
      <c r="F35" s="2"/>
      <c r="G35" s="2"/>
      <c r="H35" s="29"/>
      <c r="I35" s="31">
        <f>SUM(K35:K35)</f>
        <v>0.5</v>
      </c>
      <c r="K35">
        <v>0.5</v>
      </c>
    </row>
    <row r="36" spans="1:11" x14ac:dyDescent="0.25">
      <c r="A36" s="27">
        <v>29</v>
      </c>
      <c r="B36" s="28" t="s">
        <v>70</v>
      </c>
      <c r="C36" s="32" t="s">
        <v>17</v>
      </c>
      <c r="D36" s="35" t="s">
        <v>68</v>
      </c>
      <c r="E36" s="30">
        <v>46153</v>
      </c>
      <c r="F36" s="2"/>
      <c r="G36" s="2"/>
      <c r="H36" s="29"/>
      <c r="I36" s="31">
        <f>SUM(J36:K36)</f>
        <v>5</v>
      </c>
      <c r="J36">
        <v>5</v>
      </c>
    </row>
    <row r="37" spans="1:11" x14ac:dyDescent="0.25">
      <c r="A37" s="27">
        <v>30</v>
      </c>
      <c r="B37" s="28" t="s">
        <v>70</v>
      </c>
      <c r="C37" s="32" t="s">
        <v>17</v>
      </c>
      <c r="D37" s="35" t="s">
        <v>68</v>
      </c>
      <c r="E37" s="30">
        <v>46153</v>
      </c>
      <c r="F37" s="2"/>
      <c r="G37" s="2"/>
      <c r="H37" s="29"/>
      <c r="I37" s="31">
        <f>SUM(K37:K37)</f>
        <v>5</v>
      </c>
      <c r="K37">
        <v>5</v>
      </c>
    </row>
    <row r="38" spans="1:11" x14ac:dyDescent="0.25">
      <c r="A38" s="27">
        <v>31</v>
      </c>
      <c r="B38" s="28" t="s">
        <v>70</v>
      </c>
      <c r="C38" s="32" t="s">
        <v>136</v>
      </c>
      <c r="D38" s="35" t="s">
        <v>47</v>
      </c>
      <c r="E38" s="30">
        <v>46146</v>
      </c>
      <c r="F38" s="2"/>
      <c r="G38" s="2"/>
      <c r="H38" s="29"/>
      <c r="I38" s="31">
        <f>SUM(J38:K38)</f>
        <v>1</v>
      </c>
      <c r="J38">
        <v>1</v>
      </c>
    </row>
    <row r="39" spans="1:11" x14ac:dyDescent="0.25">
      <c r="A39" s="27">
        <v>32</v>
      </c>
      <c r="B39" s="28" t="s">
        <v>70</v>
      </c>
      <c r="C39" s="32" t="s">
        <v>128</v>
      </c>
      <c r="D39" s="35" t="s">
        <v>47</v>
      </c>
      <c r="E39" s="30">
        <v>46153</v>
      </c>
      <c r="F39" s="2"/>
      <c r="G39" s="2"/>
      <c r="H39" s="29"/>
      <c r="I39" s="31">
        <f>SUM(K39:K39)</f>
        <v>0.75</v>
      </c>
      <c r="K39">
        <v>0.75</v>
      </c>
    </row>
    <row r="40" spans="1:11" x14ac:dyDescent="0.25">
      <c r="A40" s="27">
        <v>33</v>
      </c>
      <c r="B40" s="28" t="s">
        <v>70</v>
      </c>
      <c r="C40" s="32" t="s">
        <v>125</v>
      </c>
      <c r="D40" s="35" t="s">
        <v>47</v>
      </c>
      <c r="E40" s="30">
        <v>46153</v>
      </c>
      <c r="F40" s="2"/>
      <c r="G40" s="2"/>
      <c r="H40" s="29"/>
      <c r="I40" s="31">
        <f>SUM(K40:K40)</f>
        <v>1.25</v>
      </c>
      <c r="K40">
        <v>1.25</v>
      </c>
    </row>
    <row r="41" spans="1:11" x14ac:dyDescent="0.25">
      <c r="A41" s="27">
        <v>34</v>
      </c>
      <c r="B41" s="28" t="s">
        <v>70</v>
      </c>
      <c r="C41" s="32" t="s">
        <v>127</v>
      </c>
      <c r="D41" s="35" t="s">
        <v>47</v>
      </c>
      <c r="E41" s="30">
        <v>46153</v>
      </c>
      <c r="F41" s="2"/>
      <c r="G41" s="2"/>
      <c r="H41" s="29"/>
      <c r="I41" s="31">
        <f>SUM(K41:K41)</f>
        <v>1</v>
      </c>
      <c r="K41">
        <v>1</v>
      </c>
    </row>
    <row r="42" spans="1:11" x14ac:dyDescent="0.25">
      <c r="A42" s="27">
        <v>35</v>
      </c>
      <c r="B42" s="28" t="s">
        <v>70</v>
      </c>
      <c r="C42" s="32" t="s">
        <v>144</v>
      </c>
      <c r="D42" s="35" t="s">
        <v>47</v>
      </c>
      <c r="E42" s="30">
        <v>46153</v>
      </c>
      <c r="F42" s="2"/>
      <c r="G42" s="2"/>
      <c r="H42" s="29"/>
      <c r="I42" s="31">
        <f>SUM(K42:K42)</f>
        <v>1</v>
      </c>
      <c r="K42">
        <v>1</v>
      </c>
    </row>
    <row r="43" spans="1:11" x14ac:dyDescent="0.25">
      <c r="A43" s="27">
        <v>36</v>
      </c>
      <c r="B43" s="28" t="s">
        <v>70</v>
      </c>
      <c r="C43" s="32" t="s">
        <v>78</v>
      </c>
      <c r="D43" s="35" t="s">
        <v>47</v>
      </c>
      <c r="E43" s="30">
        <v>46153</v>
      </c>
      <c r="F43" s="2"/>
      <c r="G43" s="2"/>
      <c r="H43" s="29"/>
      <c r="I43" s="31">
        <f>SUM(K43:K43)</f>
        <v>1</v>
      </c>
      <c r="K43">
        <v>1</v>
      </c>
    </row>
    <row r="44" spans="1:11" x14ac:dyDescent="0.25">
      <c r="A44" s="27">
        <v>37</v>
      </c>
      <c r="B44" s="28" t="s">
        <v>70</v>
      </c>
      <c r="C44" s="32" t="s">
        <v>116</v>
      </c>
      <c r="D44" s="35" t="s">
        <v>47</v>
      </c>
      <c r="E44" s="30">
        <v>46153</v>
      </c>
      <c r="F44" s="2"/>
      <c r="G44" s="2"/>
      <c r="H44" s="29"/>
      <c r="I44" s="31">
        <f>SUM(K44:K44)</f>
        <v>0.75</v>
      </c>
      <c r="K44">
        <v>0.75</v>
      </c>
    </row>
    <row r="45" spans="1:11" x14ac:dyDescent="0.25">
      <c r="A45" s="27">
        <v>38</v>
      </c>
      <c r="B45" s="28" t="s">
        <v>70</v>
      </c>
      <c r="C45" s="32" t="s">
        <v>130</v>
      </c>
      <c r="D45" s="35" t="s">
        <v>47</v>
      </c>
      <c r="E45" s="30">
        <v>46153</v>
      </c>
      <c r="F45" s="2"/>
      <c r="G45" s="2"/>
      <c r="H45" s="29"/>
      <c r="I45" s="31">
        <f>SUM(K45:K45)</f>
        <v>0.75</v>
      </c>
      <c r="K45">
        <v>0.75</v>
      </c>
    </row>
    <row r="46" spans="1:11" x14ac:dyDescent="0.25">
      <c r="A46" s="27">
        <v>39</v>
      </c>
      <c r="B46" s="28" t="s">
        <v>70</v>
      </c>
      <c r="C46" s="32" t="s">
        <v>74</v>
      </c>
      <c r="D46" s="35" t="s">
        <v>47</v>
      </c>
      <c r="E46" s="30">
        <v>46153</v>
      </c>
      <c r="F46" s="2"/>
      <c r="G46" s="2"/>
      <c r="H46" s="29"/>
      <c r="I46" s="31">
        <f>SUM(K46:K46)</f>
        <v>1</v>
      </c>
      <c r="K46">
        <v>1</v>
      </c>
    </row>
    <row r="47" spans="1:11" x14ac:dyDescent="0.25">
      <c r="A47" s="27">
        <v>40</v>
      </c>
      <c r="B47" s="28" t="s">
        <v>70</v>
      </c>
      <c r="C47" s="32" t="s">
        <v>133</v>
      </c>
      <c r="D47" s="35" t="s">
        <v>47</v>
      </c>
      <c r="E47" s="30">
        <v>46153</v>
      </c>
      <c r="F47" s="2"/>
      <c r="G47" s="2"/>
      <c r="H47" s="29"/>
      <c r="I47" s="31">
        <f>SUM(K47:K47)</f>
        <v>0.5</v>
      </c>
      <c r="K47">
        <v>0.5</v>
      </c>
    </row>
    <row r="48" spans="1:11" x14ac:dyDescent="0.25">
      <c r="A48" s="27">
        <v>41</v>
      </c>
      <c r="B48" s="28" t="s">
        <v>70</v>
      </c>
      <c r="C48" s="32" t="s">
        <v>81</v>
      </c>
      <c r="D48" s="35" t="s">
        <v>47</v>
      </c>
      <c r="E48" s="30">
        <v>46153</v>
      </c>
      <c r="F48" s="2"/>
      <c r="G48" s="2"/>
      <c r="H48" s="29"/>
      <c r="I48" s="31">
        <f>SUM(K48:K48)</f>
        <v>0.5</v>
      </c>
      <c r="K48">
        <v>0.5</v>
      </c>
    </row>
    <row r="49" spans="1:11" x14ac:dyDescent="0.25">
      <c r="A49" s="27">
        <v>42</v>
      </c>
      <c r="B49" s="28" t="s">
        <v>70</v>
      </c>
      <c r="C49" s="32" t="s">
        <v>129</v>
      </c>
      <c r="D49" s="35" t="s">
        <v>47</v>
      </c>
      <c r="E49" s="30">
        <v>46153</v>
      </c>
      <c r="F49" s="2"/>
      <c r="G49" s="2"/>
      <c r="H49" s="29"/>
      <c r="I49" s="31">
        <f>SUM(K49:K49)</f>
        <v>0.75</v>
      </c>
      <c r="K49">
        <v>0.75</v>
      </c>
    </row>
    <row r="50" spans="1:11" x14ac:dyDescent="0.25">
      <c r="A50" s="27">
        <v>43</v>
      </c>
      <c r="B50" s="28" t="s">
        <v>70</v>
      </c>
      <c r="C50" s="32" t="s">
        <v>76</v>
      </c>
      <c r="D50" s="35" t="s">
        <v>47</v>
      </c>
      <c r="E50" s="30">
        <v>46153</v>
      </c>
      <c r="F50" s="2"/>
      <c r="G50" s="2"/>
      <c r="H50" s="29"/>
      <c r="I50" s="31">
        <f>SUM(K50:K50)</f>
        <v>1.25</v>
      </c>
      <c r="K50">
        <v>1.25</v>
      </c>
    </row>
    <row r="51" spans="1:11" x14ac:dyDescent="0.25">
      <c r="A51" s="27">
        <v>44</v>
      </c>
      <c r="B51" s="28" t="s">
        <v>70</v>
      </c>
      <c r="C51" s="32" t="s">
        <v>113</v>
      </c>
      <c r="D51" s="35" t="s">
        <v>47</v>
      </c>
      <c r="E51" s="30">
        <v>46153</v>
      </c>
      <c r="F51" s="2"/>
      <c r="G51" s="2"/>
      <c r="H51" s="29"/>
      <c r="I51" s="31">
        <f>SUM(K51:K51)</f>
        <v>1</v>
      </c>
      <c r="K51">
        <v>1</v>
      </c>
    </row>
    <row r="52" spans="1:11" x14ac:dyDescent="0.25">
      <c r="A52" s="27">
        <v>45</v>
      </c>
      <c r="B52" s="28" t="s">
        <v>70</v>
      </c>
      <c r="C52" s="32" t="s">
        <v>137</v>
      </c>
      <c r="D52" s="35" t="s">
        <v>47</v>
      </c>
      <c r="E52" s="30">
        <v>46153</v>
      </c>
      <c r="F52" s="2"/>
      <c r="G52" s="2"/>
      <c r="H52" s="29"/>
      <c r="I52" s="31">
        <f>SUM(K52:K52)</f>
        <v>0.75</v>
      </c>
      <c r="K52">
        <v>0.75</v>
      </c>
    </row>
    <row r="53" spans="1:11" x14ac:dyDescent="0.25">
      <c r="A53" s="27">
        <v>46</v>
      </c>
      <c r="B53" s="28" t="s">
        <v>70</v>
      </c>
      <c r="C53" s="32" t="s">
        <v>143</v>
      </c>
      <c r="D53" s="35" t="s">
        <v>47</v>
      </c>
      <c r="E53" s="30">
        <v>46153</v>
      </c>
      <c r="F53" s="2"/>
      <c r="G53" s="2"/>
      <c r="H53" s="29"/>
      <c r="I53" s="31">
        <f>SUM(K53:K53)</f>
        <v>1.5</v>
      </c>
      <c r="K53">
        <v>1.5</v>
      </c>
    </row>
    <row r="54" spans="1:11" x14ac:dyDescent="0.25">
      <c r="A54" s="27">
        <v>47</v>
      </c>
      <c r="B54" s="28" t="s">
        <v>70</v>
      </c>
      <c r="C54" s="32" t="s">
        <v>131</v>
      </c>
      <c r="D54" s="35" t="s">
        <v>47</v>
      </c>
      <c r="E54" s="30">
        <v>46153</v>
      </c>
      <c r="F54" s="2"/>
      <c r="G54" s="2"/>
      <c r="H54" s="29"/>
      <c r="I54" s="31">
        <f>SUM(K54:K54)</f>
        <v>1.5</v>
      </c>
      <c r="K54">
        <v>1.5</v>
      </c>
    </row>
    <row r="55" spans="1:11" x14ac:dyDescent="0.25">
      <c r="A55" s="27">
        <v>48</v>
      </c>
      <c r="B55" s="28" t="s">
        <v>70</v>
      </c>
      <c r="C55" s="32" t="s">
        <v>145</v>
      </c>
      <c r="D55" s="35" t="s">
        <v>47</v>
      </c>
      <c r="E55" s="30">
        <v>46153</v>
      </c>
      <c r="F55" s="2"/>
      <c r="G55" s="2"/>
      <c r="H55" s="29"/>
      <c r="I55" s="31">
        <f>SUM(K55:K55)</f>
        <v>1</v>
      </c>
      <c r="K55">
        <v>1</v>
      </c>
    </row>
    <row r="56" spans="1:11" x14ac:dyDescent="0.25">
      <c r="A56" s="27">
        <v>49</v>
      </c>
      <c r="B56" s="28" t="s">
        <v>70</v>
      </c>
      <c r="C56" s="32" t="s">
        <v>119</v>
      </c>
      <c r="D56" s="35" t="s">
        <v>47</v>
      </c>
      <c r="E56" s="30">
        <v>46153</v>
      </c>
      <c r="F56" s="2"/>
      <c r="G56" s="2"/>
      <c r="H56" s="29"/>
      <c r="I56" s="31">
        <f>SUM(K56:K56)</f>
        <v>0.75</v>
      </c>
      <c r="K56">
        <v>0.75</v>
      </c>
    </row>
    <row r="57" spans="1:11" x14ac:dyDescent="0.25">
      <c r="A57" s="27">
        <v>50</v>
      </c>
      <c r="B57" s="28" t="s">
        <v>70</v>
      </c>
      <c r="C57" s="32" t="s">
        <v>124</v>
      </c>
      <c r="D57" s="35" t="s">
        <v>47</v>
      </c>
      <c r="E57" s="30">
        <v>46153</v>
      </c>
      <c r="F57" s="2"/>
      <c r="G57" s="2"/>
      <c r="H57" s="29"/>
      <c r="I57" s="31">
        <f>SUM(K57:K57)</f>
        <v>1.25</v>
      </c>
      <c r="K57">
        <v>1.25</v>
      </c>
    </row>
    <row r="58" spans="1:11" x14ac:dyDescent="0.25">
      <c r="A58" s="27">
        <v>51</v>
      </c>
      <c r="B58" s="28" t="s">
        <v>70</v>
      </c>
      <c r="C58" s="32" t="s">
        <v>118</v>
      </c>
      <c r="D58" s="35" t="s">
        <v>47</v>
      </c>
      <c r="E58" s="30">
        <v>46153</v>
      </c>
      <c r="F58" s="2"/>
      <c r="G58" s="2"/>
      <c r="H58" s="29"/>
      <c r="I58" s="31">
        <f>SUM(K58:K58)</f>
        <v>1</v>
      </c>
      <c r="K58">
        <v>1</v>
      </c>
    </row>
    <row r="59" spans="1:11" x14ac:dyDescent="0.25">
      <c r="A59" s="27">
        <v>52</v>
      </c>
      <c r="B59" s="28" t="s">
        <v>70</v>
      </c>
      <c r="C59" s="32" t="s">
        <v>82</v>
      </c>
      <c r="D59" s="35" t="s">
        <v>47</v>
      </c>
      <c r="E59" s="30">
        <v>46153</v>
      </c>
      <c r="F59" s="2"/>
      <c r="G59" s="2"/>
      <c r="H59" s="29"/>
      <c r="I59" s="31">
        <f>SUM(K59:K59)</f>
        <v>1.5</v>
      </c>
      <c r="K59">
        <v>1.5</v>
      </c>
    </row>
    <row r="60" spans="1:11" x14ac:dyDescent="0.25">
      <c r="A60" s="27">
        <v>53</v>
      </c>
      <c r="B60" s="28" t="s">
        <v>70</v>
      </c>
      <c r="C60" s="32" t="s">
        <v>77</v>
      </c>
      <c r="D60" s="35" t="s">
        <v>38</v>
      </c>
      <c r="E60" s="30">
        <v>46146</v>
      </c>
      <c r="F60" s="2"/>
      <c r="G60" s="2"/>
      <c r="H60" s="29"/>
      <c r="I60" s="31">
        <f>SUM(J60:K60)</f>
        <v>0.5</v>
      </c>
      <c r="J60">
        <v>0.5</v>
      </c>
    </row>
    <row r="61" spans="1:11" x14ac:dyDescent="0.25">
      <c r="A61" s="27">
        <v>54</v>
      </c>
      <c r="B61" s="28" t="s">
        <v>70</v>
      </c>
      <c r="C61" s="32" t="s">
        <v>73</v>
      </c>
      <c r="D61" s="35" t="s">
        <v>38</v>
      </c>
      <c r="E61" s="30">
        <v>46146</v>
      </c>
      <c r="F61" s="2"/>
      <c r="G61" s="2"/>
      <c r="H61" s="29"/>
      <c r="I61" s="31">
        <f>SUM(J61:K61)</f>
        <v>0.25</v>
      </c>
      <c r="J61">
        <v>0.25</v>
      </c>
    </row>
    <row r="62" spans="1:11" x14ac:dyDescent="0.25">
      <c r="A62" s="27">
        <v>55</v>
      </c>
      <c r="B62" s="28" t="s">
        <v>70</v>
      </c>
      <c r="C62" s="32" t="s">
        <v>132</v>
      </c>
      <c r="D62" s="35" t="s">
        <v>38</v>
      </c>
      <c r="E62" s="30">
        <v>46146</v>
      </c>
      <c r="F62" s="2"/>
      <c r="G62" s="2"/>
      <c r="H62" s="29"/>
      <c r="I62" s="31">
        <f>SUM(J62:K62)</f>
        <v>0.5</v>
      </c>
      <c r="J62">
        <v>0.5</v>
      </c>
    </row>
    <row r="63" spans="1:11" x14ac:dyDescent="0.25">
      <c r="A63" s="27">
        <v>56</v>
      </c>
      <c r="B63" s="28" t="s">
        <v>70</v>
      </c>
      <c r="C63" s="32" t="s">
        <v>77</v>
      </c>
      <c r="D63" s="35" t="s">
        <v>38</v>
      </c>
      <c r="E63" s="30">
        <v>46146</v>
      </c>
      <c r="F63" s="2"/>
      <c r="G63" s="2"/>
      <c r="H63" s="29"/>
      <c r="I63" s="31">
        <f>SUM(J63:K63)</f>
        <v>0.5</v>
      </c>
      <c r="J63">
        <v>0.5</v>
      </c>
    </row>
    <row r="64" spans="1:11" x14ac:dyDescent="0.25">
      <c r="A64" s="27">
        <v>57</v>
      </c>
      <c r="B64" s="28" t="s">
        <v>70</v>
      </c>
      <c r="C64" s="32" t="s">
        <v>73</v>
      </c>
      <c r="D64" s="35" t="s">
        <v>38</v>
      </c>
      <c r="E64" s="30">
        <v>46146</v>
      </c>
      <c r="F64" s="2"/>
      <c r="G64" s="2"/>
      <c r="H64" s="29"/>
      <c r="I64" s="31">
        <f>SUM(J64:K64)</f>
        <v>0.25</v>
      </c>
      <c r="J64">
        <v>0.25</v>
      </c>
    </row>
    <row r="65" spans="1:11" x14ac:dyDescent="0.25">
      <c r="A65" s="27">
        <v>58</v>
      </c>
      <c r="B65" s="28" t="s">
        <v>70</v>
      </c>
      <c r="C65" s="32" t="s">
        <v>132</v>
      </c>
      <c r="D65" s="35" t="s">
        <v>38</v>
      </c>
      <c r="E65" s="30">
        <v>46146</v>
      </c>
      <c r="F65" s="2"/>
      <c r="G65" s="2"/>
      <c r="H65" s="29"/>
      <c r="I65" s="31">
        <f>SUM(J65:K65)</f>
        <v>0.5</v>
      </c>
      <c r="J65">
        <v>0.5</v>
      </c>
    </row>
    <row r="66" spans="1:11" x14ac:dyDescent="0.25">
      <c r="A66" s="27">
        <v>59</v>
      </c>
      <c r="B66" s="28" t="s">
        <v>70</v>
      </c>
      <c r="C66" s="32" t="s">
        <v>121</v>
      </c>
      <c r="D66" s="35" t="s">
        <v>38</v>
      </c>
      <c r="E66" s="30">
        <v>46146</v>
      </c>
      <c r="F66" s="2"/>
      <c r="G66" s="2"/>
      <c r="H66" s="29"/>
      <c r="I66" s="31">
        <f>SUM(J66:K66)</f>
        <v>0.25</v>
      </c>
      <c r="J66">
        <v>0.25</v>
      </c>
    </row>
    <row r="67" spans="1:11" x14ac:dyDescent="0.25">
      <c r="A67" s="27">
        <v>60</v>
      </c>
      <c r="B67" s="28" t="s">
        <v>70</v>
      </c>
      <c r="C67" s="32" t="s">
        <v>114</v>
      </c>
      <c r="D67" s="35" t="s">
        <v>38</v>
      </c>
      <c r="E67" s="30">
        <v>46146</v>
      </c>
      <c r="F67" s="2"/>
      <c r="G67" s="2"/>
      <c r="H67" s="29"/>
      <c r="I67" s="31">
        <f>SUM(J67:K67)</f>
        <v>0.25</v>
      </c>
      <c r="J67">
        <v>0.25</v>
      </c>
    </row>
    <row r="68" spans="1:11" x14ac:dyDescent="0.25">
      <c r="A68" s="27">
        <v>61</v>
      </c>
      <c r="B68" s="28" t="s">
        <v>70</v>
      </c>
      <c r="C68" s="32" t="s">
        <v>115</v>
      </c>
      <c r="D68" s="35" t="s">
        <v>38</v>
      </c>
      <c r="E68" s="30">
        <v>46146</v>
      </c>
      <c r="F68" s="2"/>
      <c r="G68" s="2"/>
      <c r="H68" s="29"/>
      <c r="I68" s="31">
        <f>SUM(J68:K68)</f>
        <v>0.25</v>
      </c>
      <c r="J68">
        <v>0.25</v>
      </c>
    </row>
    <row r="69" spans="1:11" x14ac:dyDescent="0.25">
      <c r="A69" s="27">
        <v>62</v>
      </c>
      <c r="B69" s="28" t="s">
        <v>70</v>
      </c>
      <c r="C69" s="32" t="s">
        <v>74</v>
      </c>
      <c r="D69" s="35" t="s">
        <v>38</v>
      </c>
      <c r="E69" s="30">
        <v>46146</v>
      </c>
      <c r="F69" s="2"/>
      <c r="G69" s="2"/>
      <c r="H69" s="29"/>
      <c r="I69" s="31">
        <f>SUM(J69:K69)</f>
        <v>0.25</v>
      </c>
      <c r="J69">
        <v>0.25</v>
      </c>
    </row>
    <row r="70" spans="1:11" x14ac:dyDescent="0.25">
      <c r="A70" s="27">
        <v>63</v>
      </c>
      <c r="B70" s="28" t="s">
        <v>70</v>
      </c>
      <c r="C70" s="32" t="s">
        <v>142</v>
      </c>
      <c r="D70" s="35" t="s">
        <v>38</v>
      </c>
      <c r="E70" s="30">
        <v>46146</v>
      </c>
      <c r="F70" s="2"/>
      <c r="G70" s="2"/>
      <c r="H70" s="29"/>
      <c r="I70" s="31">
        <f>SUM(J70:K70)</f>
        <v>0.25</v>
      </c>
      <c r="J70">
        <v>0.25</v>
      </c>
    </row>
    <row r="71" spans="1:11" x14ac:dyDescent="0.25">
      <c r="A71" s="27">
        <v>64</v>
      </c>
      <c r="B71" s="28" t="s">
        <v>70</v>
      </c>
      <c r="C71" s="32" t="s">
        <v>120</v>
      </c>
      <c r="D71" s="35" t="s">
        <v>38</v>
      </c>
      <c r="E71" s="30">
        <v>46146</v>
      </c>
      <c r="F71" s="2"/>
      <c r="G71" s="2"/>
      <c r="H71" s="29"/>
      <c r="I71" s="31">
        <f>SUM(J71:K71)</f>
        <v>0.25</v>
      </c>
      <c r="J71">
        <v>0.25</v>
      </c>
    </row>
    <row r="72" spans="1:11" x14ac:dyDescent="0.25">
      <c r="A72" s="27">
        <v>65</v>
      </c>
      <c r="B72" s="28" t="s">
        <v>70</v>
      </c>
      <c r="C72" s="32" t="s">
        <v>122</v>
      </c>
      <c r="D72" s="35" t="s">
        <v>38</v>
      </c>
      <c r="E72" s="30">
        <v>46146</v>
      </c>
      <c r="F72" s="2"/>
      <c r="G72" s="2"/>
      <c r="H72" s="29"/>
      <c r="I72" s="31">
        <f>SUM(J72:K72)</f>
        <v>0.25</v>
      </c>
      <c r="J72">
        <v>0.25</v>
      </c>
    </row>
    <row r="73" spans="1:11" x14ac:dyDescent="0.25">
      <c r="A73" s="27">
        <v>66</v>
      </c>
      <c r="B73" s="28" t="s">
        <v>70</v>
      </c>
      <c r="C73" s="32" t="s">
        <v>113</v>
      </c>
      <c r="D73" s="35" t="s">
        <v>38</v>
      </c>
      <c r="E73" s="30">
        <v>46146</v>
      </c>
      <c r="F73" s="2"/>
      <c r="G73" s="2"/>
      <c r="H73" s="29"/>
      <c r="I73" s="31">
        <f>SUM(J73:K73)</f>
        <v>0.25</v>
      </c>
      <c r="J73">
        <v>0.25</v>
      </c>
    </row>
    <row r="74" spans="1:11" x14ac:dyDescent="0.25">
      <c r="A74" s="27">
        <v>67</v>
      </c>
      <c r="B74" s="28" t="s">
        <v>70</v>
      </c>
      <c r="C74" s="32" t="s">
        <v>143</v>
      </c>
      <c r="D74" s="35" t="s">
        <v>38</v>
      </c>
      <c r="E74" s="30">
        <v>46146</v>
      </c>
      <c r="F74" s="2"/>
      <c r="G74" s="2"/>
      <c r="H74" s="29"/>
      <c r="I74" s="31">
        <f>SUM(J74:K74)</f>
        <v>0.5</v>
      </c>
      <c r="J74">
        <v>0.5</v>
      </c>
    </row>
    <row r="75" spans="1:11" x14ac:dyDescent="0.25">
      <c r="A75" s="27">
        <v>68</v>
      </c>
      <c r="B75" s="28" t="s">
        <v>70</v>
      </c>
      <c r="C75" s="32" t="s">
        <v>75</v>
      </c>
      <c r="D75" s="35" t="s">
        <v>38</v>
      </c>
      <c r="E75" s="30">
        <v>46146</v>
      </c>
      <c r="F75" s="2"/>
      <c r="G75" s="2"/>
      <c r="H75" s="29"/>
      <c r="I75" s="31">
        <f>SUM(J75:K75)</f>
        <v>0.25</v>
      </c>
      <c r="J75">
        <v>0.25</v>
      </c>
    </row>
    <row r="76" spans="1:11" x14ac:dyDescent="0.25">
      <c r="A76" s="27">
        <v>69</v>
      </c>
      <c r="B76" s="28" t="s">
        <v>70</v>
      </c>
      <c r="C76" s="32" t="s">
        <v>123</v>
      </c>
      <c r="D76" s="35" t="s">
        <v>38</v>
      </c>
      <c r="E76" s="30">
        <v>46146</v>
      </c>
      <c r="F76" s="2"/>
      <c r="G76" s="2"/>
      <c r="H76" s="29"/>
      <c r="I76" s="31">
        <f>SUM(J76:K76)</f>
        <v>0.25</v>
      </c>
      <c r="J76">
        <v>0.25</v>
      </c>
    </row>
    <row r="77" spans="1:11" x14ac:dyDescent="0.25">
      <c r="A77" s="27">
        <v>70</v>
      </c>
      <c r="B77" s="28" t="s">
        <v>70</v>
      </c>
      <c r="C77" s="32" t="s">
        <v>119</v>
      </c>
      <c r="D77" s="35" t="s">
        <v>38</v>
      </c>
      <c r="E77" s="30">
        <v>46146</v>
      </c>
      <c r="F77" s="2"/>
      <c r="G77" s="2"/>
      <c r="H77" s="29"/>
      <c r="I77" s="31">
        <f>SUM(J77:K77)</f>
        <v>0.25</v>
      </c>
      <c r="J77">
        <v>0.25</v>
      </c>
    </row>
    <row r="78" spans="1:11" x14ac:dyDescent="0.25">
      <c r="A78" s="27">
        <v>71</v>
      </c>
      <c r="B78" s="28" t="s">
        <v>70</v>
      </c>
      <c r="C78" s="32" t="s">
        <v>77</v>
      </c>
      <c r="D78" s="35" t="s">
        <v>38</v>
      </c>
      <c r="E78" s="30">
        <v>46153</v>
      </c>
      <c r="F78" s="2"/>
      <c r="G78" s="2"/>
      <c r="H78" s="29"/>
      <c r="I78" s="31">
        <f>SUM(K78:K78)</f>
        <v>0.5</v>
      </c>
      <c r="K78">
        <v>0.5</v>
      </c>
    </row>
    <row r="79" spans="1:11" x14ac:dyDescent="0.25">
      <c r="A79" s="27">
        <v>72</v>
      </c>
      <c r="B79" s="28" t="s">
        <v>70</v>
      </c>
      <c r="C79" s="32" t="s">
        <v>78</v>
      </c>
      <c r="D79" s="35" t="s">
        <v>38</v>
      </c>
      <c r="E79" s="30">
        <v>46153</v>
      </c>
      <c r="F79" s="2"/>
      <c r="G79" s="2"/>
      <c r="H79" s="29"/>
      <c r="I79" s="31">
        <f>SUM(K79:K79)</f>
        <v>0.5</v>
      </c>
      <c r="K79">
        <v>0.5</v>
      </c>
    </row>
    <row r="80" spans="1:11" x14ac:dyDescent="0.25">
      <c r="A80" s="27">
        <v>73</v>
      </c>
      <c r="B80" s="28" t="s">
        <v>70</v>
      </c>
      <c r="C80" s="32" t="s">
        <v>117</v>
      </c>
      <c r="D80" s="35" t="s">
        <v>38</v>
      </c>
      <c r="E80" s="30">
        <v>46153</v>
      </c>
      <c r="F80" s="2"/>
      <c r="G80" s="2"/>
      <c r="H80" s="29"/>
      <c r="I80" s="31">
        <f>SUM(K80:K80)</f>
        <v>1</v>
      </c>
      <c r="K80">
        <v>1</v>
      </c>
    </row>
    <row r="81" spans="1:11" x14ac:dyDescent="0.25">
      <c r="A81" s="27">
        <v>74</v>
      </c>
      <c r="B81" s="28" t="s">
        <v>70</v>
      </c>
      <c r="C81" s="32" t="s">
        <v>119</v>
      </c>
      <c r="D81" s="35" t="s">
        <v>38</v>
      </c>
      <c r="E81" s="30">
        <v>46153</v>
      </c>
      <c r="F81" s="2"/>
      <c r="G81" s="2"/>
      <c r="H81" s="29"/>
      <c r="I81" s="31">
        <f>SUM(K81:K81)</f>
        <v>1</v>
      </c>
      <c r="K81">
        <v>1</v>
      </c>
    </row>
    <row r="82" spans="1:11" x14ac:dyDescent="0.25">
      <c r="A82" s="27">
        <v>75</v>
      </c>
      <c r="B82" s="28" t="s">
        <v>70</v>
      </c>
      <c r="C82" s="32" t="s">
        <v>73</v>
      </c>
      <c r="D82" s="35" t="s">
        <v>38</v>
      </c>
      <c r="E82" s="30">
        <v>46153</v>
      </c>
      <c r="F82" s="2"/>
      <c r="G82" s="2"/>
      <c r="H82" s="29"/>
      <c r="I82" s="31">
        <f>SUM(K82:K82)</f>
        <v>0.25</v>
      </c>
      <c r="K82">
        <v>0.25</v>
      </c>
    </row>
    <row r="83" spans="1:11" x14ac:dyDescent="0.25">
      <c r="A83" s="27">
        <v>76</v>
      </c>
      <c r="B83" s="28" t="s">
        <v>70</v>
      </c>
      <c r="C83" s="32" t="s">
        <v>141</v>
      </c>
      <c r="D83" s="35" t="s">
        <v>39</v>
      </c>
      <c r="E83" s="30">
        <v>46146</v>
      </c>
      <c r="F83" s="2"/>
      <c r="G83" s="2"/>
      <c r="H83" s="29"/>
      <c r="I83" s="31">
        <f>SUM(J83:K83)</f>
        <v>0.5</v>
      </c>
      <c r="J83">
        <v>0.5</v>
      </c>
    </row>
    <row r="84" spans="1:11" x14ac:dyDescent="0.25">
      <c r="A84" s="27">
        <v>77</v>
      </c>
      <c r="B84" s="28" t="s">
        <v>70</v>
      </c>
      <c r="C84" s="32" t="s">
        <v>72</v>
      </c>
      <c r="D84" s="35" t="s">
        <v>39</v>
      </c>
      <c r="E84" s="30">
        <v>46146</v>
      </c>
      <c r="F84" s="2"/>
      <c r="G84" s="2"/>
      <c r="H84" s="29"/>
      <c r="I84" s="31">
        <f>SUM(J84:K84)</f>
        <v>0.5</v>
      </c>
      <c r="J84">
        <v>0.5</v>
      </c>
    </row>
    <row r="85" spans="1:11" x14ac:dyDescent="0.25">
      <c r="A85" s="27">
        <v>78</v>
      </c>
      <c r="B85" s="28" t="s">
        <v>70</v>
      </c>
      <c r="C85" s="32" t="s">
        <v>77</v>
      </c>
      <c r="D85" s="35" t="s">
        <v>39</v>
      </c>
      <c r="E85" s="30">
        <v>46146</v>
      </c>
      <c r="F85" s="2"/>
      <c r="G85" s="2"/>
      <c r="H85" s="29"/>
      <c r="I85" s="31">
        <f>SUM(J85:K85)</f>
        <v>0.5</v>
      </c>
      <c r="J85">
        <v>0.5</v>
      </c>
    </row>
    <row r="86" spans="1:11" x14ac:dyDescent="0.25">
      <c r="A86" s="27">
        <v>79</v>
      </c>
      <c r="B86" s="28" t="s">
        <v>70</v>
      </c>
      <c r="C86" s="32" t="s">
        <v>133</v>
      </c>
      <c r="D86" s="35" t="s">
        <v>39</v>
      </c>
      <c r="E86" s="30">
        <v>46146</v>
      </c>
      <c r="F86" s="2"/>
      <c r="G86" s="2"/>
      <c r="H86" s="29"/>
      <c r="I86" s="31">
        <f>SUM(J86:K86)</f>
        <v>0.5</v>
      </c>
      <c r="J86">
        <v>0.5</v>
      </c>
    </row>
    <row r="87" spans="1:11" x14ac:dyDescent="0.25">
      <c r="A87" s="27">
        <v>80</v>
      </c>
      <c r="B87" s="28" t="s">
        <v>70</v>
      </c>
      <c r="C87" s="32" t="s">
        <v>129</v>
      </c>
      <c r="D87" s="35" t="s">
        <v>39</v>
      </c>
      <c r="E87" s="30">
        <v>46146</v>
      </c>
      <c r="F87" s="2"/>
      <c r="G87" s="2"/>
      <c r="H87" s="29"/>
      <c r="I87" s="31">
        <f>SUM(J87:K87)</f>
        <v>0.5</v>
      </c>
      <c r="J87">
        <v>0.5</v>
      </c>
    </row>
    <row r="88" spans="1:11" x14ac:dyDescent="0.25">
      <c r="A88" s="27">
        <v>81</v>
      </c>
      <c r="B88" s="28" t="s">
        <v>70</v>
      </c>
      <c r="C88" s="32" t="s">
        <v>136</v>
      </c>
      <c r="D88" s="35" t="s">
        <v>39</v>
      </c>
      <c r="E88" s="30">
        <v>46146</v>
      </c>
      <c r="F88" s="2"/>
      <c r="G88" s="2"/>
      <c r="H88" s="29"/>
      <c r="I88" s="31">
        <f>SUM(J88:K88)</f>
        <v>0.5</v>
      </c>
      <c r="J88">
        <v>0.5</v>
      </c>
    </row>
    <row r="89" spans="1:11" x14ac:dyDescent="0.25">
      <c r="A89" s="27">
        <v>82</v>
      </c>
      <c r="B89" s="28" t="s">
        <v>70</v>
      </c>
      <c r="C89" s="32" t="s">
        <v>127</v>
      </c>
      <c r="D89" s="35" t="s">
        <v>39</v>
      </c>
      <c r="E89" s="30">
        <v>46153</v>
      </c>
      <c r="F89" s="2"/>
      <c r="G89" s="2"/>
      <c r="H89" s="29"/>
      <c r="I89" s="31">
        <f>SUM(K89:K89)</f>
        <v>0.5</v>
      </c>
      <c r="K89">
        <v>0.5</v>
      </c>
    </row>
    <row r="90" spans="1:11" x14ac:dyDescent="0.25">
      <c r="A90" s="27">
        <v>83</v>
      </c>
      <c r="B90" s="28" t="s">
        <v>70</v>
      </c>
      <c r="C90" s="32" t="s">
        <v>140</v>
      </c>
      <c r="D90" s="35" t="s">
        <v>39</v>
      </c>
      <c r="E90" s="30">
        <v>46153</v>
      </c>
      <c r="F90" s="2"/>
      <c r="G90" s="2"/>
      <c r="H90" s="29"/>
      <c r="I90" s="31">
        <f>SUM(K90:K90)</f>
        <v>0.5</v>
      </c>
      <c r="K90">
        <v>0.5</v>
      </c>
    </row>
    <row r="91" spans="1:11" x14ac:dyDescent="0.25">
      <c r="A91" s="27">
        <v>84</v>
      </c>
      <c r="B91" s="28" t="s">
        <v>70</v>
      </c>
      <c r="C91" s="32" t="s">
        <v>129</v>
      </c>
      <c r="D91" s="35" t="s">
        <v>39</v>
      </c>
      <c r="E91" s="30">
        <v>46153</v>
      </c>
      <c r="F91" s="2"/>
      <c r="G91" s="2"/>
      <c r="H91" s="29"/>
      <c r="I91" s="31">
        <f>SUM(K91:K91)</f>
        <v>0.25</v>
      </c>
      <c r="K91">
        <v>0.25</v>
      </c>
    </row>
    <row r="92" spans="1:11" x14ac:dyDescent="0.25">
      <c r="A92" s="27">
        <v>85</v>
      </c>
      <c r="B92" s="28" t="s">
        <v>70</v>
      </c>
      <c r="C92" s="32" t="s">
        <v>146</v>
      </c>
      <c r="D92" s="35" t="s">
        <v>39</v>
      </c>
      <c r="E92" s="30">
        <v>46153</v>
      </c>
      <c r="F92" s="2"/>
      <c r="G92" s="2"/>
      <c r="H92" s="29"/>
      <c r="I92" s="31">
        <f>SUM(K92:K92)</f>
        <v>0.25</v>
      </c>
      <c r="K92">
        <v>0.25</v>
      </c>
    </row>
    <row r="93" spans="1:11" x14ac:dyDescent="0.25">
      <c r="A93" s="27">
        <v>86</v>
      </c>
      <c r="B93" s="28" t="s">
        <v>70</v>
      </c>
      <c r="C93" s="32" t="s">
        <v>131</v>
      </c>
      <c r="D93" s="35" t="s">
        <v>39</v>
      </c>
      <c r="E93" s="30">
        <v>46153</v>
      </c>
      <c r="F93" s="2"/>
      <c r="G93" s="2"/>
      <c r="H93" s="29"/>
      <c r="I93" s="31">
        <f>SUM(K93:K93)</f>
        <v>0.25</v>
      </c>
      <c r="K93">
        <v>0.25</v>
      </c>
    </row>
    <row r="94" spans="1:11" x14ac:dyDescent="0.25">
      <c r="A94" s="27">
        <v>87</v>
      </c>
      <c r="B94" s="28" t="s">
        <v>70</v>
      </c>
      <c r="C94" s="32" t="s">
        <v>124</v>
      </c>
      <c r="D94" s="35" t="s">
        <v>39</v>
      </c>
      <c r="E94" s="30">
        <v>46153</v>
      </c>
      <c r="F94" s="2"/>
      <c r="G94" s="2"/>
      <c r="H94" s="29"/>
      <c r="I94" s="31">
        <f>SUM(K94:K94)</f>
        <v>0.25</v>
      </c>
      <c r="K94">
        <v>0.25</v>
      </c>
    </row>
    <row r="95" spans="1:11" x14ac:dyDescent="0.25">
      <c r="A95" s="27">
        <v>88</v>
      </c>
      <c r="B95" s="28" t="s">
        <v>70</v>
      </c>
      <c r="C95" s="32" t="s">
        <v>81</v>
      </c>
      <c r="D95" s="35" t="s">
        <v>39</v>
      </c>
      <c r="E95" s="30">
        <v>46153</v>
      </c>
      <c r="F95" s="2"/>
      <c r="G95" s="2"/>
      <c r="H95" s="29"/>
      <c r="I95" s="31">
        <f>SUM(K95:K95)</f>
        <v>0.5</v>
      </c>
      <c r="K95">
        <v>0.5</v>
      </c>
    </row>
    <row r="96" spans="1:11" x14ac:dyDescent="0.25">
      <c r="A96" s="27"/>
      <c r="B96" s="28"/>
      <c r="C96" s="32"/>
      <c r="D96" s="35"/>
      <c r="E96" s="30"/>
      <c r="F96" s="2"/>
      <c r="G96" s="2"/>
      <c r="H96" s="29"/>
      <c r="I96" s="31"/>
    </row>
    <row r="97" spans="1:11" x14ac:dyDescent="0.25">
      <c r="A97" s="6" t="s">
        <v>13</v>
      </c>
      <c r="B97" s="4"/>
      <c r="C97" s="4"/>
      <c r="D97" s="22"/>
      <c r="E97" s="4"/>
      <c r="F97" s="4"/>
      <c r="G97" s="4"/>
      <c r="H97" s="22"/>
      <c r="I97" s="22"/>
      <c r="J97" s="5"/>
    </row>
    <row r="98" spans="1:11" x14ac:dyDescent="0.25">
      <c r="A98" s="27"/>
      <c r="B98" s="28"/>
      <c r="C98" s="32"/>
      <c r="D98" s="35"/>
      <c r="E98" s="30"/>
      <c r="F98" s="2"/>
      <c r="G98" s="2"/>
      <c r="H98" s="29"/>
      <c r="I98" s="31">
        <f>SUM(J98:K98)</f>
        <v>0</v>
      </c>
    </row>
    <row r="99" spans="1:11" x14ac:dyDescent="0.25">
      <c r="D99" s="35"/>
      <c r="H99" s="23"/>
      <c r="I99" s="23"/>
    </row>
    <row r="100" spans="1:11" ht="15.75" thickBot="1" x14ac:dyDescent="0.3">
      <c r="A100" s="11" t="s">
        <v>15</v>
      </c>
      <c r="B100" s="8"/>
      <c r="C100" s="8"/>
      <c r="D100" s="37"/>
      <c r="E100" s="8"/>
      <c r="F100" s="8"/>
      <c r="G100" s="8"/>
      <c r="H100" s="8"/>
      <c r="I100" s="26">
        <f>SUM(I8:I99)</f>
        <v>65.5</v>
      </c>
      <c r="J100" s="13">
        <f>SUM(J8:J99)</f>
        <v>32.75</v>
      </c>
      <c r="K100" s="13">
        <f>SUM(K8:K99)</f>
        <v>32.75</v>
      </c>
    </row>
    <row r="101" spans="1:11" ht="15.75" thickTop="1" x14ac:dyDescent="0.25">
      <c r="I101" s="25"/>
      <c r="J101" s="12"/>
      <c r="K101" s="12"/>
    </row>
    <row r="102" spans="1:11" x14ac:dyDescent="0.25">
      <c r="A102" s="1" t="s">
        <v>16</v>
      </c>
      <c r="I102" s="25"/>
      <c r="J102" s="12"/>
      <c r="K102" s="12"/>
    </row>
    <row r="103" spans="1:11" x14ac:dyDescent="0.25">
      <c r="B103" t="s">
        <v>17</v>
      </c>
      <c r="I103" s="25">
        <f>SUM(J103:K103)</f>
        <v>6</v>
      </c>
      <c r="J103" s="12">
        <v>3</v>
      </c>
      <c r="K103" s="12">
        <v>3</v>
      </c>
    </row>
    <row r="104" spans="1:11" x14ac:dyDescent="0.25">
      <c r="B104" t="s">
        <v>18</v>
      </c>
      <c r="I104" s="25">
        <f>SUM(J104:J104)</f>
        <v>0</v>
      </c>
      <c r="J104" s="12"/>
      <c r="K104" s="12"/>
    </row>
    <row r="105" spans="1:11" x14ac:dyDescent="0.25">
      <c r="B105" t="s">
        <v>19</v>
      </c>
      <c r="I105" s="25">
        <f>SUM(J105:J105)</f>
        <v>0</v>
      </c>
      <c r="J105" s="12"/>
      <c r="K105" s="12"/>
    </row>
    <row r="106" spans="1:11" x14ac:dyDescent="0.25">
      <c r="B106" t="s">
        <v>20</v>
      </c>
      <c r="I106" s="25">
        <f>SUM(J106:J106)</f>
        <v>0</v>
      </c>
      <c r="J106" s="12"/>
      <c r="K106" s="12"/>
    </row>
    <row r="107" spans="1:11" x14ac:dyDescent="0.25">
      <c r="B107" t="s">
        <v>21</v>
      </c>
      <c r="I107" s="25">
        <f>SUM(J107:J107)</f>
        <v>1.5</v>
      </c>
      <c r="J107" s="12">
        <v>1.5</v>
      </c>
      <c r="K107" s="12"/>
    </row>
    <row r="108" spans="1:11" x14ac:dyDescent="0.25">
      <c r="I108" s="23"/>
    </row>
    <row r="109" spans="1:11" ht="15.75" thickBot="1" x14ac:dyDescent="0.3">
      <c r="A109" s="11" t="s">
        <v>22</v>
      </c>
      <c r="B109" s="8"/>
      <c r="C109" s="8"/>
      <c r="D109" s="37"/>
      <c r="E109" s="8"/>
      <c r="F109" s="8"/>
      <c r="G109" s="8"/>
      <c r="H109" s="8"/>
      <c r="I109" s="26">
        <f>SUM(I103:I108)</f>
        <v>7.5</v>
      </c>
      <c r="J109" s="13">
        <f t="shared" ref="J109" si="1">SUM(J103:J108)</f>
        <v>4.5</v>
      </c>
      <c r="K109" s="13">
        <f t="shared" ref="K109" si="2">SUM(K103:K108)</f>
        <v>3</v>
      </c>
    </row>
    <row r="110" spans="1:11" ht="15.75" thickTop="1" x14ac:dyDescent="0.25">
      <c r="I110" s="25"/>
      <c r="J110" s="12"/>
      <c r="K110" s="12"/>
    </row>
    <row r="111" spans="1:11" ht="15.75" thickBot="1" x14ac:dyDescent="0.3">
      <c r="A111" s="11" t="s">
        <v>23</v>
      </c>
      <c r="B111" s="8"/>
      <c r="C111" s="8"/>
      <c r="D111" s="37"/>
      <c r="E111" s="8"/>
      <c r="F111" s="8"/>
      <c r="G111" s="8"/>
      <c r="H111" s="8"/>
      <c r="I111" s="26">
        <f>+I109+I100</f>
        <v>73</v>
      </c>
      <c r="J111" s="13">
        <f>+J109+J100</f>
        <v>37.25</v>
      </c>
      <c r="K111" s="13">
        <f t="shared" ref="K111" si="3">+K109+K100</f>
        <v>35.75</v>
      </c>
    </row>
    <row r="112" spans="1:11" ht="15.75" thickTop="1" x14ac:dyDescent="0.25">
      <c r="I112" s="23"/>
    </row>
    <row r="113" spans="1:11" x14ac:dyDescent="0.25">
      <c r="I113" s="23"/>
    </row>
    <row r="114" spans="1:11" ht="15.75" thickBot="1" x14ac:dyDescent="0.3">
      <c r="A114" s="11" t="s">
        <v>24</v>
      </c>
      <c r="B114" s="8"/>
      <c r="C114" s="8"/>
      <c r="D114" s="37"/>
      <c r="E114" s="8"/>
      <c r="F114" s="8"/>
      <c r="G114" s="8"/>
      <c r="H114" s="8"/>
      <c r="I114" s="26"/>
      <c r="J114" s="13">
        <v>40</v>
      </c>
      <c r="K114" s="13">
        <v>40</v>
      </c>
    </row>
    <row r="115" spans="1:11" ht="16.5" thickTop="1" thickBot="1" x14ac:dyDescent="0.3">
      <c r="A115" s="11" t="s">
        <v>25</v>
      </c>
      <c r="B115" s="8"/>
      <c r="C115" s="8"/>
      <c r="D115" s="37"/>
      <c r="E115" s="8"/>
      <c r="F115" s="8"/>
      <c r="G115" s="8"/>
      <c r="H115" s="8"/>
      <c r="I115" s="26"/>
      <c r="J115" s="13">
        <f t="shared" ref="J115:K115" si="4">+J114-J111</f>
        <v>2.75</v>
      </c>
      <c r="K115" s="13">
        <f t="shared" si="4"/>
        <v>4.25</v>
      </c>
    </row>
    <row r="116" spans="1:11" ht="15.75" thickTop="1" x14ac:dyDescent="0.25"/>
  </sheetData>
  <protectedRanges>
    <protectedRange sqref="B99:C99 E99:XFD99 J97:XFD98 A103:XFD108 G8:H98 L8:XFD96 A8:A99" name="Range1"/>
    <protectedRange sqref="B8:B98" name="Range1_1"/>
    <protectedRange sqref="D8:D99" name="Range1_2"/>
    <protectedRange sqref="E8:F98" name="Range1_3"/>
    <protectedRange sqref="I8:I98" name="Range1_4"/>
  </protectedRanges>
  <autoFilter ref="A7:K95" xr:uid="{00000000-0001-0000-0000-000000000000}">
    <sortState xmlns:xlrd2="http://schemas.microsoft.com/office/spreadsheetml/2017/richdata2" ref="A8:K95">
      <sortCondition ref="D7:D95"/>
    </sortState>
  </autoFilter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H8:H99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D8:D99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4" workbookViewId="0">
      <selection activeCell="F1" sqref="F1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35</v>
      </c>
      <c r="C2" s="21" t="s">
        <v>40</v>
      </c>
    </row>
    <row r="3" spans="2:3" x14ac:dyDescent="0.25">
      <c r="B3" s="18" t="s">
        <v>36</v>
      </c>
      <c r="C3" s="19" t="s">
        <v>41</v>
      </c>
    </row>
    <row r="4" spans="2:3" x14ac:dyDescent="0.25">
      <c r="B4" s="18" t="s">
        <v>42</v>
      </c>
      <c r="C4" s="19" t="s">
        <v>43</v>
      </c>
    </row>
    <row r="5" spans="2:3" x14ac:dyDescent="0.25">
      <c r="B5" s="18" t="s">
        <v>44</v>
      </c>
      <c r="C5" s="19" t="s">
        <v>45</v>
      </c>
    </row>
    <row r="6" spans="2:3" x14ac:dyDescent="0.25">
      <c r="B6" s="18" t="s">
        <v>37</v>
      </c>
      <c r="C6" s="19" t="s">
        <v>46</v>
      </c>
    </row>
    <row r="7" spans="2:3" x14ac:dyDescent="0.25">
      <c r="B7" s="18" t="s">
        <v>47</v>
      </c>
      <c r="C7" s="19" t="s">
        <v>48</v>
      </c>
    </row>
    <row r="8" spans="2:3" x14ac:dyDescent="0.25">
      <c r="B8" s="18" t="s">
        <v>38</v>
      </c>
      <c r="C8" s="19" t="s">
        <v>49</v>
      </c>
    </row>
    <row r="9" spans="2:3" x14ac:dyDescent="0.25">
      <c r="B9" s="18" t="s">
        <v>39</v>
      </c>
      <c r="C9" s="19" t="s">
        <v>50</v>
      </c>
    </row>
    <row r="10" spans="2:3" x14ac:dyDescent="0.25">
      <c r="B10" s="18" t="s">
        <v>68</v>
      </c>
      <c r="C10" s="19" t="s">
        <v>69</v>
      </c>
    </row>
    <row r="11" spans="2:3" x14ac:dyDescent="0.25">
      <c r="B11" s="18" t="s">
        <v>51</v>
      </c>
      <c r="C11" s="19" t="s">
        <v>52</v>
      </c>
    </row>
    <row r="15" spans="2:3" ht="16.5" x14ac:dyDescent="0.25">
      <c r="B15" s="21" t="s">
        <v>53</v>
      </c>
      <c r="C15" s="21" t="s">
        <v>40</v>
      </c>
    </row>
    <row r="16" spans="2:3" x14ac:dyDescent="0.25">
      <c r="B16" s="20" t="s">
        <v>26</v>
      </c>
      <c r="C16" s="19" t="s">
        <v>54</v>
      </c>
    </row>
    <row r="17" spans="2:3" x14ac:dyDescent="0.25">
      <c r="B17" s="20" t="s">
        <v>55</v>
      </c>
      <c r="C17" s="19" t="s">
        <v>56</v>
      </c>
    </row>
    <row r="18" spans="2:3" x14ac:dyDescent="0.25">
      <c r="B18" s="20" t="s">
        <v>34</v>
      </c>
      <c r="C18" s="19" t="s">
        <v>57</v>
      </c>
    </row>
    <row r="19" spans="2:3" x14ac:dyDescent="0.25">
      <c r="B19" s="20" t="s">
        <v>14</v>
      </c>
      <c r="C19" s="19" t="s">
        <v>58</v>
      </c>
    </row>
    <row r="20" spans="2:3" x14ac:dyDescent="0.25">
      <c r="B20" s="20" t="s">
        <v>27</v>
      </c>
      <c r="C20" s="19" t="s">
        <v>59</v>
      </c>
    </row>
    <row r="21" spans="2:3" x14ac:dyDescent="0.25">
      <c r="B21" s="20" t="s">
        <v>28</v>
      </c>
      <c r="C21" s="19" t="s">
        <v>60</v>
      </c>
    </row>
    <row r="22" spans="2:3" x14ac:dyDescent="0.25">
      <c r="B22" s="20" t="s">
        <v>61</v>
      </c>
      <c r="C22" s="19" t="s">
        <v>62</v>
      </c>
    </row>
    <row r="23" spans="2:3" x14ac:dyDescent="0.25">
      <c r="B23" s="20" t="s">
        <v>33</v>
      </c>
      <c r="C23" s="19" t="s">
        <v>63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29</v>
      </c>
    </row>
    <row r="2" spans="1:1" s="15" customFormat="1" ht="15.75" x14ac:dyDescent="0.25">
      <c r="A2" s="16"/>
    </row>
    <row r="3" spans="1:1" s="15" customFormat="1" ht="15.75" x14ac:dyDescent="0.25">
      <c r="A3" s="14" t="s">
        <v>66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30</v>
      </c>
    </row>
    <row r="8" spans="1:1" ht="15.75" x14ac:dyDescent="0.25">
      <c r="A8" s="14" t="s">
        <v>67</v>
      </c>
    </row>
    <row r="9" spans="1:1" ht="15.75" x14ac:dyDescent="0.25">
      <c r="A9" s="14" t="s">
        <v>65</v>
      </c>
    </row>
    <row r="10" spans="1:1" ht="15.75" x14ac:dyDescent="0.25">
      <c r="A10" s="14" t="s">
        <v>31</v>
      </c>
    </row>
    <row r="11" spans="1:1" ht="15.75" x14ac:dyDescent="0.25">
      <c r="A11" s="14" t="s">
        <v>32</v>
      </c>
    </row>
    <row r="12" spans="1:1" ht="15.75" x14ac:dyDescent="0.25">
      <c r="A12" s="14" t="s">
        <v>64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EC31-80BF-4D7F-ADBF-882370E1E1D5}">
  <dimension ref="A1:B31"/>
  <sheetViews>
    <sheetView workbookViewId="0">
      <selection activeCell="D14" sqref="D14"/>
    </sheetView>
  </sheetViews>
  <sheetFormatPr defaultRowHeight="15" x14ac:dyDescent="0.25"/>
  <cols>
    <col min="1" max="1" width="5.85546875" bestFit="1" customWidth="1"/>
    <col min="2" max="2" width="42.85546875" customWidth="1"/>
  </cols>
  <sheetData>
    <row r="1" spans="1:2" x14ac:dyDescent="0.25">
      <c r="A1" s="33" t="s">
        <v>83</v>
      </c>
      <c r="B1" s="33" t="s">
        <v>6</v>
      </c>
    </row>
    <row r="2" spans="1:2" x14ac:dyDescent="0.25">
      <c r="A2" s="33">
        <v>1</v>
      </c>
      <c r="B2" s="34" t="s">
        <v>84</v>
      </c>
    </row>
    <row r="3" spans="1:2" x14ac:dyDescent="0.25">
      <c r="A3" s="33">
        <v>2</v>
      </c>
      <c r="B3" s="34" t="s">
        <v>85</v>
      </c>
    </row>
    <row r="4" spans="1:2" x14ac:dyDescent="0.25">
      <c r="A4" s="33">
        <v>3</v>
      </c>
      <c r="B4" s="34" t="s">
        <v>86</v>
      </c>
    </row>
    <row r="5" spans="1:2" x14ac:dyDescent="0.25">
      <c r="A5" s="33">
        <v>4</v>
      </c>
      <c r="B5" s="34" t="s">
        <v>87</v>
      </c>
    </row>
    <row r="6" spans="1:2" x14ac:dyDescent="0.25">
      <c r="A6" s="33">
        <v>5</v>
      </c>
      <c r="B6" s="34" t="s">
        <v>88</v>
      </c>
    </row>
    <row r="7" spans="1:2" x14ac:dyDescent="0.25">
      <c r="A7" s="33">
        <v>6</v>
      </c>
      <c r="B7" s="34" t="s">
        <v>89</v>
      </c>
    </row>
    <row r="8" spans="1:2" x14ac:dyDescent="0.25">
      <c r="A8" s="33">
        <v>7</v>
      </c>
      <c r="B8" s="34" t="s">
        <v>90</v>
      </c>
    </row>
    <row r="9" spans="1:2" x14ac:dyDescent="0.25">
      <c r="A9" s="33">
        <v>8</v>
      </c>
      <c r="B9" s="34" t="s">
        <v>70</v>
      </c>
    </row>
    <row r="10" spans="1:2" x14ac:dyDescent="0.25">
      <c r="A10" s="33">
        <v>9</v>
      </c>
      <c r="B10" s="34" t="s">
        <v>91</v>
      </c>
    </row>
    <row r="11" spans="1:2" x14ac:dyDescent="0.25">
      <c r="A11" s="33">
        <v>10</v>
      </c>
      <c r="B11" s="34" t="s">
        <v>92</v>
      </c>
    </row>
    <row r="12" spans="1:2" x14ac:dyDescent="0.25">
      <c r="A12" s="33">
        <v>11</v>
      </c>
      <c r="B12" s="34" t="s">
        <v>93</v>
      </c>
    </row>
    <row r="13" spans="1:2" x14ac:dyDescent="0.25">
      <c r="A13" s="33">
        <v>12</v>
      </c>
      <c r="B13" s="34" t="s">
        <v>94</v>
      </c>
    </row>
    <row r="14" spans="1:2" x14ac:dyDescent="0.25">
      <c r="A14" s="33">
        <v>13</v>
      </c>
      <c r="B14" s="34" t="s">
        <v>95</v>
      </c>
    </row>
    <row r="15" spans="1:2" x14ac:dyDescent="0.25">
      <c r="A15" s="33">
        <v>14</v>
      </c>
      <c r="B15" s="34" t="s">
        <v>96</v>
      </c>
    </row>
    <row r="16" spans="1:2" x14ac:dyDescent="0.25">
      <c r="A16" s="33">
        <v>15</v>
      </c>
      <c r="B16" s="34" t="s">
        <v>97</v>
      </c>
    </row>
    <row r="17" spans="1:2" x14ac:dyDescent="0.25">
      <c r="A17" s="33">
        <v>16</v>
      </c>
      <c r="B17" s="34" t="s">
        <v>98</v>
      </c>
    </row>
    <row r="18" spans="1:2" x14ac:dyDescent="0.25">
      <c r="A18" s="33">
        <v>17</v>
      </c>
      <c r="B18" s="34" t="s">
        <v>99</v>
      </c>
    </row>
    <row r="19" spans="1:2" x14ac:dyDescent="0.25">
      <c r="A19" s="33">
        <v>18</v>
      </c>
      <c r="B19" s="34" t="s">
        <v>100</v>
      </c>
    </row>
    <row r="20" spans="1:2" x14ac:dyDescent="0.25">
      <c r="A20" s="33">
        <v>19</v>
      </c>
      <c r="B20" s="34" t="s">
        <v>101</v>
      </c>
    </row>
    <row r="21" spans="1:2" x14ac:dyDescent="0.25">
      <c r="A21" s="33">
        <v>20</v>
      </c>
      <c r="B21" s="34" t="s">
        <v>102</v>
      </c>
    </row>
    <row r="22" spans="1:2" x14ac:dyDescent="0.25">
      <c r="A22" s="33">
        <v>21</v>
      </c>
      <c r="B22" s="34" t="s">
        <v>103</v>
      </c>
    </row>
    <row r="23" spans="1:2" x14ac:dyDescent="0.25">
      <c r="A23" s="33">
        <v>22</v>
      </c>
      <c r="B23" s="34" t="s">
        <v>104</v>
      </c>
    </row>
    <row r="24" spans="1:2" x14ac:dyDescent="0.25">
      <c r="A24" s="33">
        <v>23</v>
      </c>
      <c r="B24" s="34" t="s">
        <v>105</v>
      </c>
    </row>
    <row r="25" spans="1:2" x14ac:dyDescent="0.25">
      <c r="A25" s="33">
        <v>24</v>
      </c>
      <c r="B25" s="34" t="s">
        <v>106</v>
      </c>
    </row>
    <row r="26" spans="1:2" x14ac:dyDescent="0.25">
      <c r="A26" s="33">
        <v>25</v>
      </c>
      <c r="B26" s="34" t="s">
        <v>107</v>
      </c>
    </row>
    <row r="27" spans="1:2" x14ac:dyDescent="0.25">
      <c r="A27" s="33">
        <v>26</v>
      </c>
      <c r="B27" s="34" t="s">
        <v>108</v>
      </c>
    </row>
    <row r="28" spans="1:2" x14ac:dyDescent="0.25">
      <c r="A28" s="33">
        <v>27</v>
      </c>
      <c r="B28" s="34" t="s">
        <v>109</v>
      </c>
    </row>
    <row r="29" spans="1:2" x14ac:dyDescent="0.25">
      <c r="A29" s="33">
        <v>28</v>
      </c>
      <c r="B29" s="34" t="s">
        <v>110</v>
      </c>
    </row>
    <row r="30" spans="1:2" x14ac:dyDescent="0.25">
      <c r="A30" s="33">
        <v>29</v>
      </c>
      <c r="B30" s="34" t="s">
        <v>112</v>
      </c>
    </row>
    <row r="31" spans="1:2" x14ac:dyDescent="0.25">
      <c r="A31" s="33">
        <v>30</v>
      </c>
      <c r="B31" s="19" t="s">
        <v>111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Aaryan Thakkar</cp:lastModifiedBy>
  <cp:revision/>
  <dcterms:created xsi:type="dcterms:W3CDTF">2015-06-05T18:17:20Z</dcterms:created>
  <dcterms:modified xsi:type="dcterms:W3CDTF">2026-05-01T14:33:59Z</dcterms:modified>
  <cp:category/>
  <cp:contentStatus/>
</cp:coreProperties>
</file>