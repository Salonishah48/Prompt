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F65F560E-B437-43A5-B283-6AC8756993BE}" xr6:coauthVersionLast="47" xr6:coauthVersionMax="47" xr10:uidLastSave="{00000000-0000-0000-0000-000000000000}"/>
  <bookViews>
    <workbookView xWindow="-12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64" i="1"/>
  <c r="J68" i="1"/>
  <c r="N68" i="1"/>
  <c r="M68" i="1"/>
  <c r="L68" i="1"/>
  <c r="K68" i="1"/>
  <c r="I67" i="1"/>
  <c r="I10" i="1"/>
  <c r="I57" i="1"/>
  <c r="I58" i="1"/>
  <c r="I59" i="1"/>
  <c r="I60" i="1"/>
  <c r="I61" i="1"/>
  <c r="I62" i="1"/>
  <c r="I6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9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4" i="1"/>
  <c r="I25" i="1"/>
  <c r="I26" i="1"/>
  <c r="I27" i="1"/>
  <c r="I28" i="1"/>
  <c r="I23" i="1"/>
  <c r="I22" i="1"/>
  <c r="I21" i="1"/>
  <c r="I20" i="1"/>
  <c r="I19" i="1"/>
  <c r="I18" i="1"/>
  <c r="I17" i="1"/>
  <c r="I16" i="1"/>
  <c r="I15" i="1"/>
  <c r="I14" i="1"/>
  <c r="I13" i="1"/>
  <c r="I12" i="1"/>
  <c r="I75" i="1"/>
  <c r="I11" i="1"/>
  <c r="I74" i="1"/>
  <c r="I73" i="1"/>
  <c r="I72" i="1"/>
  <c r="I71" i="1"/>
  <c r="I68" i="1" l="1"/>
  <c r="I77" i="1"/>
  <c r="J77" i="1"/>
  <c r="N77" i="1" l="1"/>
  <c r="M77" i="1"/>
  <c r="L77" i="1"/>
  <c r="K77" i="1"/>
  <c r="K6" i="1"/>
  <c r="L6" i="1" s="1"/>
  <c r="M6" i="1" s="1"/>
  <c r="M79" i="1" l="1"/>
  <c r="M83" i="1" s="1"/>
  <c r="J79" i="1"/>
  <c r="J83" i="1" s="1"/>
  <c r="N79" i="1"/>
  <c r="L79" i="1"/>
  <c r="L83" i="1" s="1"/>
  <c r="I79" i="1"/>
  <c r="K79" i="1"/>
  <c r="K83" i="1" s="1"/>
</calcChain>
</file>

<file path=xl/sharedStrings.xml><?xml version="1.0" encoding="utf-8"?>
<sst xmlns="http://schemas.openxmlformats.org/spreadsheetml/2006/main" count="319" uniqueCount="140">
  <si>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</si>
  <si>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</si>
  <si>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</si>
  <si>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</si>
  <si>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</si>
  <si>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</si>
  <si>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</si>
  <si>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</si>
  <si>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</si>
  <si>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</si>
  <si>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</si>
  <si>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</si>
  <si>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</si>
  <si>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</si>
  <si>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</si>
  <si>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</si>
  <si>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</si>
  <si>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</si>
  <si>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</si>
  <si>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</si>
  <si>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</si>
  <si>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</si>
  <si>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</si>
  <si>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</si>
  <si>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</si>
  <si>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</si>
  <si>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</si>
  <si>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</si>
  <si>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</si>
  <si>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</si>
  <si>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</si>
  <si>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</si>
  <si>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</si>
  <si>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</si>
  <si>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</si>
  <si>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</si>
  <si>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</si>
  <si>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</si>
  <si>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</si>
  <si>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</si>
  <si>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</si>
  <si>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</si>
  <si>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</si>
  <si>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</si>
  <si>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</si>
  <si>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</si>
  <si>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</si>
  <si>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</si>
  <si>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</si>
  <si>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</si>
  <si>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</si>
  <si>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</si>
  <si>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</si>
  <si>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</si>
  <si>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</si>
  <si>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</si>
  <si>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</si>
  <si>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</si>
  <si>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</si>
  <si>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</si>
  <si>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</si>
  <si>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</si>
  <si>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</si>
  <si>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</si>
  <si>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</si>
  <si>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</si>
  <si>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</si>
  <si>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</si>
  <si>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</si>
  <si>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</si>
  <si>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</si>
  <si>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</si>
  <si>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</si>
  <si>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</si>
  <si>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</si>
  <si>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Warriror Business Services</t>
  </si>
  <si>
    <t>Admin - General</t>
  </si>
  <si>
    <t>X COUNT</t>
  </si>
  <si>
    <t>Asha Thakkar</t>
  </si>
  <si>
    <t>Wildman Enterprises</t>
  </si>
  <si>
    <t>MVP Investment LLC</t>
  </si>
  <si>
    <t>Meeting</t>
  </si>
  <si>
    <t>Sprline Consultancy Private Limited</t>
  </si>
  <si>
    <t>Millers Concrete Pumping</t>
  </si>
  <si>
    <t>Weekly Bank Feed - 2 Clients</t>
  </si>
  <si>
    <t>All star Realty</t>
  </si>
  <si>
    <t>A&amp;M Real Estate</t>
  </si>
  <si>
    <t>ARE Properties LLC</t>
  </si>
  <si>
    <t>Badger Home Improvement </t>
  </si>
  <si>
    <t>Hasset Designs</t>
  </si>
  <si>
    <t>Kristy Co</t>
  </si>
  <si>
    <t>JA Towing</t>
  </si>
  <si>
    <t>Kyro </t>
  </si>
  <si>
    <t>Lapsley Inc</t>
  </si>
  <si>
    <t>Moore Brick and Stone</t>
  </si>
  <si>
    <t xml:space="preserve">Roof Rescue 911 </t>
  </si>
  <si>
    <t>Professional Maintenance &amp; Landscaping</t>
  </si>
  <si>
    <t>Paint the Town Graphics</t>
  </si>
  <si>
    <t>Steam IT Inc.</t>
  </si>
  <si>
    <t xml:space="preserve">Wolffie Collects </t>
  </si>
  <si>
    <t>Washington Township Baseball (WTBL)</t>
  </si>
  <si>
    <t>Woodburn Veterinary clinic INC.</t>
  </si>
  <si>
    <t>GNG and Inspired Capital Solutions</t>
  </si>
  <si>
    <t>Gold Door enterprises Inc</t>
  </si>
  <si>
    <t>Best Contracting LLC</t>
  </si>
  <si>
    <t>Elevation 138 LLC</t>
  </si>
  <si>
    <t>AL-JAN INTERNATIONAL</t>
  </si>
  <si>
    <t>Avelar Investments</t>
  </si>
  <si>
    <t>Bonjour Family Insurance</t>
  </si>
  <si>
    <t>Coleman Home Center LLC</t>
  </si>
  <si>
    <t>Firepower</t>
  </si>
  <si>
    <t>Custom crom polish</t>
  </si>
  <si>
    <t>Ward Steven</t>
  </si>
  <si>
    <t>A-1 Sewer</t>
  </si>
  <si>
    <t>Budget Blinds-(Architectural Products)</t>
  </si>
  <si>
    <t>CFRE [Conrad Family Real Estate LLC]</t>
  </si>
  <si>
    <t>Garrett Specialty Services, LLC</t>
  </si>
  <si>
    <t>Conrad Family Restaurant LLC (2 Brothers Operating)</t>
  </si>
  <si>
    <t>Graft Investments LLC</t>
  </si>
  <si>
    <t xml:space="preserve">Hhandler </t>
  </si>
  <si>
    <t xml:space="preserve">Pathway Therapy </t>
  </si>
  <si>
    <t>Pierre Tent Rentals (PTR)</t>
  </si>
  <si>
    <t xml:space="preserve">RL Cleaning </t>
  </si>
  <si>
    <t>Steam Team</t>
  </si>
  <si>
    <t>Toylandbay</t>
  </si>
  <si>
    <t>5960 Group LLC</t>
  </si>
  <si>
    <t>TJK Mechnic services</t>
  </si>
  <si>
    <t>Senior</t>
  </si>
  <si>
    <t>Pragneshkumar Soni</t>
  </si>
  <si>
    <t>521 Webdesign (Gratis Capital)</t>
  </si>
  <si>
    <t>Hahn Home Improvement LLC</t>
  </si>
  <si>
    <t>P&amp;K Puppies</t>
  </si>
  <si>
    <t xml:space="preserve">Ruble Triathalon </t>
  </si>
  <si>
    <t>Realtor Rumbi</t>
  </si>
  <si>
    <t>Car Corale</t>
  </si>
  <si>
    <t>St joe medical</t>
  </si>
  <si>
    <t xml:space="preserve">Multiple Client feed </t>
  </si>
  <si>
    <t xml:space="preserve">D-DAY </t>
  </si>
  <si>
    <t>DMB DDS</t>
  </si>
  <si>
    <t xml:space="preserve">Maury Herndon 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</si>
</sst>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0"/>
      <name val="Arial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  <xf numFmtId="14" fontId="1" fillId="0" borderId="0" xfId="0" applyNumberFormat="1" applyFont="1"/>
    <xf numFmtId="2" fontId="0" fillId="0" borderId="0" xfId="0" applyNumberForma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C1" workbookViewId="0">
      <pane ySplit="7" topLeftCell="A71" activePane="bottomLeft" state="frozen"/>
      <selection pane="bottomLeft" activeCell="J83" sqref="J83"/>
    </sheetView>
  </sheetViews>
  <sheetFormatPr defaultRowHeight="15" x14ac:dyDescent="0.25"/>
  <cols>
    <col min="1" max="1" width="24.5703125" bestFit="1" customWidth="1"/>
    <col min="2" max="2" width="25.140625" customWidth="1"/>
    <col min="3" max="3" width="41.14062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78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127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128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">
        <f>J6+7</f>
        <v>46153</v>
      </c>
      <c r="L6" s="2">
        <f t="shared" ref="L6:M6" si="0">K6+7</f>
        <v>46160</v>
      </c>
      <c r="M6" s="2">
        <f t="shared" si="0"/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75</v>
      </c>
      <c r="C9" t="s">
        <v>76</v>
      </c>
      <c r="D9" s="25" t="s">
        <v>42</v>
      </c>
      <c r="E9" s="2">
        <v>46113</v>
      </c>
      <c r="F9" s="2"/>
      <c r="G9" s="2"/>
      <c r="H9" s="25" t="s">
        <v>31</v>
      </c>
      <c r="I9" s="14">
        <f t="shared" ref="I9:I36" si="1">SUM(J9:N9)</f>
        <v>2.5</v>
      </c>
      <c r="J9" s="14">
        <v>2.5</v>
      </c>
      <c r="K9" s="14"/>
      <c r="L9" s="14"/>
      <c r="M9" s="14"/>
    </row>
    <row r="10" spans="1:14" x14ac:dyDescent="0.25">
      <c r="A10">
        <v>2</v>
      </c>
      <c r="B10" t="s">
        <v>75</v>
      </c>
      <c r="C10" t="s">
        <v>84</v>
      </c>
      <c r="D10" s="25" t="s">
        <v>42</v>
      </c>
      <c r="E10" s="2">
        <v>46113</v>
      </c>
      <c r="F10" s="2"/>
      <c r="G10" s="2"/>
      <c r="H10" s="25" t="s">
        <v>31</v>
      </c>
      <c r="I10" s="14">
        <f t="shared" ref="I10" si="2">SUM(J10:N10)</f>
        <v>0.5</v>
      </c>
      <c r="J10">
        <v>0.5</v>
      </c>
    </row>
    <row r="11" spans="1:14" x14ac:dyDescent="0.25">
      <c r="A11">
        <v>3</v>
      </c>
      <c r="B11" t="s">
        <v>75</v>
      </c>
      <c r="C11" t="s">
        <v>77</v>
      </c>
      <c r="D11" s="25" t="s">
        <v>42</v>
      </c>
      <c r="E11" s="2">
        <v>46113</v>
      </c>
      <c r="F11" s="2"/>
      <c r="G11" s="2"/>
      <c r="H11" s="25" t="s">
        <v>31</v>
      </c>
      <c r="I11" s="14">
        <f t="shared" si="1"/>
        <v>4</v>
      </c>
      <c r="J11">
        <v>4</v>
      </c>
    </row>
    <row r="12" spans="1:14" x14ac:dyDescent="0.25">
      <c r="A12">
        <v>4</v>
      </c>
      <c r="B12" t="s">
        <v>75</v>
      </c>
      <c r="C12" t="s">
        <v>79</v>
      </c>
      <c r="D12" s="25" t="s">
        <v>42</v>
      </c>
      <c r="E12" s="2">
        <v>46113</v>
      </c>
      <c r="F12" s="2"/>
      <c r="G12" s="2"/>
      <c r="H12" s="25" t="s">
        <v>31</v>
      </c>
      <c r="I12" s="14">
        <f t="shared" si="1"/>
        <v>8</v>
      </c>
      <c r="J12">
        <v>8</v>
      </c>
    </row>
    <row r="13" spans="1:14" x14ac:dyDescent="0.25">
      <c r="A13">
        <v>5</v>
      </c>
      <c r="B13" t="s">
        <v>75</v>
      </c>
      <c r="C13" t="s">
        <v>80</v>
      </c>
      <c r="D13" s="25" t="s">
        <v>42</v>
      </c>
      <c r="E13" s="2">
        <v>46113</v>
      </c>
      <c r="F13" s="2"/>
      <c r="G13" s="2"/>
      <c r="H13" s="25" t="s">
        <v>31</v>
      </c>
      <c r="I13" s="14">
        <f t="shared" si="1"/>
        <v>6.5</v>
      </c>
      <c r="J13">
        <v>6.5</v>
      </c>
    </row>
    <row r="14" spans="1:14" x14ac:dyDescent="0.25">
      <c r="A14">
        <v>6</v>
      </c>
      <c r="B14" t="s">
        <v>75</v>
      </c>
      <c r="C14" t="s">
        <v>102</v>
      </c>
      <c r="D14" s="25" t="s">
        <v>42</v>
      </c>
      <c r="E14" s="2">
        <v>46113</v>
      </c>
      <c r="F14" s="2"/>
      <c r="G14" s="2"/>
      <c r="H14" s="25" t="s">
        <v>31</v>
      </c>
      <c r="I14" s="14">
        <f t="shared" si="1"/>
        <v>5</v>
      </c>
      <c r="J14">
        <v>5</v>
      </c>
    </row>
    <row r="15" spans="1:14" x14ac:dyDescent="0.25">
      <c r="A15">
        <v>7</v>
      </c>
      <c r="B15" t="s">
        <v>75</v>
      </c>
      <c r="C15" t="s">
        <v>103</v>
      </c>
      <c r="D15" s="25" t="s">
        <v>42</v>
      </c>
      <c r="E15" s="2">
        <v>46113</v>
      </c>
      <c r="F15" s="2"/>
      <c r="G15" s="2"/>
      <c r="H15" s="25" t="s">
        <v>31</v>
      </c>
      <c r="I15" s="14">
        <f t="shared" si="1"/>
        <v>5</v>
      </c>
      <c r="J15">
        <v>5</v>
      </c>
    </row>
    <row r="16" spans="1:14" x14ac:dyDescent="0.25">
      <c r="A16">
        <v>8</v>
      </c>
      <c r="B16" t="s">
        <v>75</v>
      </c>
      <c r="C16" t="s">
        <v>83</v>
      </c>
      <c r="D16" s="25" t="s">
        <v>42</v>
      </c>
      <c r="E16" s="2">
        <v>46113</v>
      </c>
      <c r="F16" s="2"/>
      <c r="G16" s="2"/>
      <c r="H16" s="25" t="s">
        <v>31</v>
      </c>
      <c r="I16" s="14">
        <f t="shared" si="1"/>
        <v>5</v>
      </c>
      <c r="J16">
        <v>5</v>
      </c>
    </row>
    <row r="17" spans="1:11" x14ac:dyDescent="0.25">
      <c r="A17">
        <v>9</v>
      </c>
      <c r="B17" t="s">
        <v>75</v>
      </c>
      <c r="C17" t="s">
        <v>104</v>
      </c>
      <c r="D17" s="25" t="s">
        <v>42</v>
      </c>
      <c r="E17" s="2">
        <v>46113</v>
      </c>
      <c r="F17" s="2"/>
      <c r="G17" s="2"/>
      <c r="H17" s="25" t="s">
        <v>31</v>
      </c>
      <c r="I17" s="14">
        <f t="shared" si="1"/>
        <v>4.5</v>
      </c>
      <c r="J17">
        <v>3.5</v>
      </c>
      <c r="K17">
        <v>1</v>
      </c>
    </row>
    <row r="18" spans="1:11" x14ac:dyDescent="0.25">
      <c r="A18">
        <v>10</v>
      </c>
      <c r="B18" t="s">
        <v>75</v>
      </c>
      <c r="C18" t="s">
        <v>105</v>
      </c>
      <c r="D18" s="25" t="s">
        <v>42</v>
      </c>
      <c r="E18" s="2">
        <v>46113</v>
      </c>
      <c r="F18" s="2"/>
      <c r="G18" s="2"/>
      <c r="H18" s="25" t="s">
        <v>31</v>
      </c>
      <c r="I18" s="14">
        <f t="shared" si="1"/>
        <v>4</v>
      </c>
      <c r="K18">
        <v>4</v>
      </c>
    </row>
    <row r="19" spans="1:11" x14ac:dyDescent="0.25">
      <c r="A19">
        <v>11</v>
      </c>
      <c r="B19" t="s">
        <v>75</v>
      </c>
      <c r="C19" t="s">
        <v>85</v>
      </c>
      <c r="D19" s="25" t="s">
        <v>42</v>
      </c>
      <c r="E19" s="2">
        <v>46113</v>
      </c>
      <c r="F19" s="2"/>
      <c r="G19" s="2"/>
      <c r="H19" s="25" t="s">
        <v>31</v>
      </c>
      <c r="I19" s="14">
        <f t="shared" si="1"/>
        <v>2</v>
      </c>
      <c r="K19">
        <v>2</v>
      </c>
    </row>
    <row r="20" spans="1:11" x14ac:dyDescent="0.25">
      <c r="A20">
        <v>12</v>
      </c>
      <c r="B20" t="s">
        <v>75</v>
      </c>
      <c r="C20" t="s">
        <v>86</v>
      </c>
      <c r="D20" s="25" t="s">
        <v>42</v>
      </c>
      <c r="E20" s="2">
        <v>46113</v>
      </c>
      <c r="F20" s="2"/>
      <c r="G20" s="2"/>
      <c r="H20" s="25" t="s">
        <v>31</v>
      </c>
      <c r="I20" s="14">
        <f t="shared" si="1"/>
        <v>2</v>
      </c>
      <c r="K20">
        <v>2</v>
      </c>
    </row>
    <row r="21" spans="1:11" x14ac:dyDescent="0.25">
      <c r="A21">
        <v>13</v>
      </c>
      <c r="B21" t="s">
        <v>75</v>
      </c>
      <c r="C21" t="s">
        <v>106</v>
      </c>
      <c r="D21" s="25" t="s">
        <v>42</v>
      </c>
      <c r="E21" s="2">
        <v>46113</v>
      </c>
      <c r="F21" s="2"/>
      <c r="G21" s="2"/>
      <c r="H21" s="25" t="s">
        <v>31</v>
      </c>
      <c r="I21" s="14">
        <f t="shared" si="1"/>
        <v>2</v>
      </c>
      <c r="K21">
        <v>2</v>
      </c>
    </row>
    <row r="22" spans="1:11" x14ac:dyDescent="0.25">
      <c r="A22">
        <v>14</v>
      </c>
      <c r="B22" t="s">
        <v>75</v>
      </c>
      <c r="C22" t="s">
        <v>87</v>
      </c>
      <c r="D22" s="25" t="s">
        <v>42</v>
      </c>
      <c r="E22" s="2">
        <v>46113</v>
      </c>
      <c r="F22" s="2"/>
      <c r="G22" s="2"/>
      <c r="H22" s="25" t="s">
        <v>31</v>
      </c>
      <c r="I22" s="14">
        <f t="shared" si="1"/>
        <v>2</v>
      </c>
      <c r="K22">
        <v>2</v>
      </c>
    </row>
    <row r="23" spans="1:11" x14ac:dyDescent="0.25">
      <c r="A23">
        <v>15</v>
      </c>
      <c r="B23" t="s">
        <v>75</v>
      </c>
      <c r="C23" t="s">
        <v>107</v>
      </c>
      <c r="D23" s="25" t="s">
        <v>42</v>
      </c>
      <c r="E23" s="2">
        <v>46113</v>
      </c>
      <c r="F23" s="2"/>
      <c r="G23" s="2"/>
      <c r="H23" s="25" t="s">
        <v>31</v>
      </c>
      <c r="I23" s="14">
        <f t="shared" si="1"/>
        <v>1</v>
      </c>
      <c r="K23">
        <v>1</v>
      </c>
    </row>
    <row r="24" spans="1:11" x14ac:dyDescent="0.25">
      <c r="A24">
        <v>16</v>
      </c>
      <c r="B24" t="s">
        <v>75</v>
      </c>
      <c r="C24" t="s">
        <v>108</v>
      </c>
      <c r="D24" s="25" t="s">
        <v>42</v>
      </c>
      <c r="E24" s="2">
        <v>46113</v>
      </c>
      <c r="F24" s="2"/>
      <c r="G24" s="2"/>
      <c r="H24" s="25" t="s">
        <v>31</v>
      </c>
      <c r="I24" s="14">
        <f t="shared" si="1"/>
        <v>2.5</v>
      </c>
      <c r="K24">
        <v>2.5</v>
      </c>
    </row>
    <row r="25" spans="1:11" x14ac:dyDescent="0.25">
      <c r="A25">
        <v>17</v>
      </c>
      <c r="B25" t="s">
        <v>75</v>
      </c>
      <c r="C25" t="s">
        <v>109</v>
      </c>
      <c r="D25" s="25" t="s">
        <v>42</v>
      </c>
      <c r="E25" s="2">
        <v>46113</v>
      </c>
      <c r="F25" s="2"/>
      <c r="G25" s="2"/>
      <c r="H25" s="25" t="s">
        <v>31</v>
      </c>
      <c r="I25" s="14">
        <f t="shared" si="1"/>
        <v>4.5</v>
      </c>
      <c r="K25">
        <v>4.5</v>
      </c>
    </row>
    <row r="26" spans="1:11" x14ac:dyDescent="0.25">
      <c r="A26">
        <v>18</v>
      </c>
      <c r="B26" t="s">
        <v>75</v>
      </c>
      <c r="C26" t="s">
        <v>110</v>
      </c>
      <c r="D26" s="25" t="s">
        <v>42</v>
      </c>
      <c r="E26" s="2">
        <v>46113</v>
      </c>
      <c r="F26" s="2"/>
      <c r="G26" s="2"/>
      <c r="H26" s="25" t="s">
        <v>31</v>
      </c>
      <c r="I26" s="14">
        <f t="shared" si="1"/>
        <v>2</v>
      </c>
      <c r="K26">
        <v>2</v>
      </c>
    </row>
    <row r="27" spans="1:11" x14ac:dyDescent="0.25">
      <c r="A27">
        <v>19</v>
      </c>
      <c r="B27" t="s">
        <v>75</v>
      </c>
      <c r="C27" t="s">
        <v>88</v>
      </c>
      <c r="D27" s="25" t="s">
        <v>42</v>
      </c>
      <c r="E27" s="2">
        <v>46113</v>
      </c>
      <c r="F27" s="2"/>
      <c r="G27" s="2"/>
      <c r="H27" s="25" t="s">
        <v>31</v>
      </c>
      <c r="I27" s="14">
        <f t="shared" si="1"/>
        <v>2.5</v>
      </c>
      <c r="K27">
        <v>2.5</v>
      </c>
    </row>
    <row r="28" spans="1:11" x14ac:dyDescent="0.25">
      <c r="A28">
        <v>20</v>
      </c>
      <c r="B28" t="s">
        <v>75</v>
      </c>
      <c r="C28" t="s">
        <v>112</v>
      </c>
      <c r="D28" s="25" t="s">
        <v>42</v>
      </c>
      <c r="E28" s="2">
        <v>46113</v>
      </c>
      <c r="F28" s="2"/>
      <c r="G28" s="2"/>
      <c r="H28" s="25" t="s">
        <v>31</v>
      </c>
      <c r="I28" s="14">
        <f t="shared" si="1"/>
        <v>2</v>
      </c>
      <c r="K28">
        <v>2</v>
      </c>
    </row>
    <row r="29" spans="1:11" x14ac:dyDescent="0.25">
      <c r="A29">
        <v>21</v>
      </c>
      <c r="B29" t="s">
        <v>75</v>
      </c>
      <c r="C29" t="s">
        <v>111</v>
      </c>
      <c r="D29" s="25" t="s">
        <v>42</v>
      </c>
      <c r="E29" s="2">
        <v>46113</v>
      </c>
      <c r="F29" s="2"/>
      <c r="G29" s="2"/>
      <c r="H29" s="25" t="s">
        <v>31</v>
      </c>
      <c r="I29" s="14">
        <f t="shared" si="1"/>
        <v>4</v>
      </c>
      <c r="K29">
        <v>4</v>
      </c>
    </row>
    <row r="30" spans="1:11" x14ac:dyDescent="0.25">
      <c r="A30">
        <v>22</v>
      </c>
      <c r="B30" t="s">
        <v>75</v>
      </c>
      <c r="C30" t="s">
        <v>89</v>
      </c>
      <c r="D30" s="25" t="s">
        <v>42</v>
      </c>
      <c r="E30" s="2">
        <v>46113</v>
      </c>
      <c r="F30" s="2"/>
      <c r="G30" s="29"/>
      <c r="H30" s="25" t="s">
        <v>31</v>
      </c>
      <c r="I30" s="14">
        <f t="shared" si="1"/>
        <v>2.5</v>
      </c>
      <c r="J30" s="30"/>
      <c r="K30">
        <v>2.5</v>
      </c>
    </row>
    <row r="31" spans="1:11" x14ac:dyDescent="0.25">
      <c r="A31">
        <v>23</v>
      </c>
      <c r="B31" t="s">
        <v>75</v>
      </c>
      <c r="C31" t="s">
        <v>91</v>
      </c>
      <c r="D31" s="25" t="s">
        <v>42</v>
      </c>
      <c r="E31" s="2">
        <v>46113</v>
      </c>
      <c r="F31" s="2"/>
      <c r="G31" s="29"/>
      <c r="H31" s="25" t="s">
        <v>31</v>
      </c>
      <c r="I31" s="14">
        <f t="shared" si="1"/>
        <v>2</v>
      </c>
      <c r="J31" s="30"/>
      <c r="K31">
        <v>2</v>
      </c>
    </row>
    <row r="32" spans="1:11" x14ac:dyDescent="0.25">
      <c r="A32">
        <v>24</v>
      </c>
      <c r="B32" t="s">
        <v>75</v>
      </c>
      <c r="C32" t="s">
        <v>92</v>
      </c>
      <c r="D32" s="25" t="s">
        <v>42</v>
      </c>
      <c r="E32" s="2">
        <v>46113</v>
      </c>
      <c r="F32" s="2"/>
      <c r="G32" s="29"/>
      <c r="H32" s="25" t="s">
        <v>31</v>
      </c>
      <c r="I32" s="14">
        <f t="shared" si="1"/>
        <v>1</v>
      </c>
      <c r="J32" s="30"/>
      <c r="K32">
        <v>1</v>
      </c>
    </row>
    <row r="33" spans="1:13" x14ac:dyDescent="0.25">
      <c r="A33">
        <v>25</v>
      </c>
      <c r="B33" t="s">
        <v>75</v>
      </c>
      <c r="C33" t="s">
        <v>93</v>
      </c>
      <c r="D33" s="25" t="s">
        <v>42</v>
      </c>
      <c r="E33" s="2">
        <v>46113</v>
      </c>
      <c r="F33" s="2"/>
      <c r="G33" s="29"/>
      <c r="H33" s="25" t="s">
        <v>31</v>
      </c>
      <c r="I33" s="14">
        <f t="shared" si="1"/>
        <v>3</v>
      </c>
      <c r="J33" s="30"/>
      <c r="K33">
        <v>3</v>
      </c>
    </row>
    <row r="34" spans="1:13" x14ac:dyDescent="0.25">
      <c r="A34">
        <v>26</v>
      </c>
      <c r="B34" t="s">
        <v>75</v>
      </c>
      <c r="C34" t="s">
        <v>94</v>
      </c>
      <c r="D34" s="25" t="s">
        <v>42</v>
      </c>
      <c r="E34" s="2">
        <v>46113</v>
      </c>
      <c r="F34" s="2"/>
      <c r="G34" s="29"/>
      <c r="H34" s="25" t="s">
        <v>31</v>
      </c>
      <c r="I34" s="14">
        <f t="shared" si="1"/>
        <v>2</v>
      </c>
      <c r="J34" s="30"/>
      <c r="L34">
        <v>2</v>
      </c>
    </row>
    <row r="35" spans="1:13" x14ac:dyDescent="0.25">
      <c r="A35">
        <v>27</v>
      </c>
      <c r="B35" t="s">
        <v>75</v>
      </c>
      <c r="C35" t="s">
        <v>95</v>
      </c>
      <c r="D35" s="25" t="s">
        <v>42</v>
      </c>
      <c r="E35" s="2">
        <v>46113</v>
      </c>
      <c r="F35" s="2"/>
      <c r="G35" s="29"/>
      <c r="H35" s="25" t="s">
        <v>31</v>
      </c>
      <c r="I35" s="14">
        <f t="shared" si="1"/>
        <v>2</v>
      </c>
      <c r="J35" s="30"/>
      <c r="L35">
        <v>2</v>
      </c>
    </row>
    <row r="36" spans="1:13" x14ac:dyDescent="0.25">
      <c r="A36">
        <v>28</v>
      </c>
      <c r="B36" t="s">
        <v>75</v>
      </c>
      <c r="C36" t="s">
        <v>96</v>
      </c>
      <c r="D36" s="25" t="s">
        <v>42</v>
      </c>
      <c r="E36" s="2">
        <v>46113</v>
      </c>
      <c r="F36" s="2"/>
      <c r="G36" s="29"/>
      <c r="H36" s="25" t="s">
        <v>31</v>
      </c>
      <c r="I36" s="14">
        <f t="shared" si="1"/>
        <v>7</v>
      </c>
      <c r="J36" s="30"/>
      <c r="L36">
        <v>7</v>
      </c>
    </row>
    <row r="37" spans="1:13" x14ac:dyDescent="0.25">
      <c r="A37">
        <v>29</v>
      </c>
      <c r="B37" t="s">
        <v>75</v>
      </c>
      <c r="C37" t="s">
        <v>97</v>
      </c>
      <c r="D37" s="25" t="s">
        <v>42</v>
      </c>
      <c r="E37" s="2">
        <v>46113</v>
      </c>
      <c r="F37" s="2"/>
      <c r="G37" s="29"/>
      <c r="H37" s="25" t="s">
        <v>31</v>
      </c>
      <c r="I37" s="14">
        <f t="shared" ref="I37:I67" si="3">SUM(J37:N37)</f>
        <v>5</v>
      </c>
      <c r="J37" s="30"/>
      <c r="L37">
        <v>5</v>
      </c>
    </row>
    <row r="38" spans="1:13" x14ac:dyDescent="0.25">
      <c r="A38">
        <v>30</v>
      </c>
      <c r="B38" t="s">
        <v>75</v>
      </c>
      <c r="C38" t="s">
        <v>98</v>
      </c>
      <c r="D38" s="25" t="s">
        <v>42</v>
      </c>
      <c r="E38" s="2">
        <v>46113</v>
      </c>
      <c r="F38" s="2"/>
      <c r="G38" s="29"/>
      <c r="H38" s="25" t="s">
        <v>31</v>
      </c>
      <c r="I38" s="14">
        <f t="shared" si="3"/>
        <v>2.5</v>
      </c>
      <c r="J38" s="30"/>
      <c r="L38">
        <v>2.5</v>
      </c>
    </row>
    <row r="39" spans="1:13" x14ac:dyDescent="0.25">
      <c r="A39">
        <v>31</v>
      </c>
      <c r="B39" t="s">
        <v>75</v>
      </c>
      <c r="C39" t="s">
        <v>99</v>
      </c>
      <c r="D39" s="25" t="s">
        <v>42</v>
      </c>
      <c r="E39" s="2">
        <v>46113</v>
      </c>
      <c r="F39" s="2"/>
      <c r="G39" s="29"/>
      <c r="H39" s="25" t="s">
        <v>31</v>
      </c>
      <c r="I39" s="14">
        <f t="shared" si="3"/>
        <v>2</v>
      </c>
      <c r="J39" s="30"/>
      <c r="L39">
        <v>2</v>
      </c>
    </row>
    <row r="40" spans="1:13" x14ac:dyDescent="0.25">
      <c r="A40">
        <v>32</v>
      </c>
      <c r="B40" t="s">
        <v>75</v>
      </c>
      <c r="C40" t="s">
        <v>100</v>
      </c>
      <c r="D40" s="25" t="s">
        <v>42</v>
      </c>
      <c r="E40" s="2">
        <v>46113</v>
      </c>
      <c r="F40" s="2"/>
      <c r="G40" s="29"/>
      <c r="H40" s="25" t="s">
        <v>31</v>
      </c>
      <c r="I40" s="14">
        <f t="shared" si="3"/>
        <v>3.5</v>
      </c>
      <c r="J40" s="30"/>
      <c r="L40">
        <v>3.5</v>
      </c>
    </row>
    <row r="41" spans="1:13" x14ac:dyDescent="0.25">
      <c r="A41">
        <v>33</v>
      </c>
      <c r="B41" t="s">
        <v>75</v>
      </c>
      <c r="C41" t="s">
        <v>101</v>
      </c>
      <c r="D41" s="25" t="s">
        <v>42</v>
      </c>
      <c r="E41" s="2">
        <v>46113</v>
      </c>
      <c r="F41" s="2"/>
      <c r="G41" s="29"/>
      <c r="H41" s="25" t="s">
        <v>31</v>
      </c>
      <c r="I41" s="14">
        <f t="shared" si="3"/>
        <v>3</v>
      </c>
      <c r="J41" s="30"/>
      <c r="L41">
        <v>3</v>
      </c>
    </row>
    <row r="42" spans="1:13" x14ac:dyDescent="0.25">
      <c r="A42">
        <v>34</v>
      </c>
      <c r="B42" t="s">
        <v>75</v>
      </c>
      <c r="C42" t="s">
        <v>90</v>
      </c>
      <c r="D42" s="25" t="s">
        <v>42</v>
      </c>
      <c r="E42" s="2">
        <v>46113</v>
      </c>
      <c r="F42" s="2"/>
      <c r="G42" s="29"/>
      <c r="H42" s="25" t="s">
        <v>31</v>
      </c>
      <c r="I42" s="14">
        <f t="shared" si="3"/>
        <v>1.5</v>
      </c>
      <c r="J42" s="30"/>
      <c r="L42">
        <v>1.5</v>
      </c>
    </row>
    <row r="43" spans="1:13" x14ac:dyDescent="0.25">
      <c r="A43">
        <v>35</v>
      </c>
      <c r="B43" t="s">
        <v>75</v>
      </c>
      <c r="C43" t="s">
        <v>113</v>
      </c>
      <c r="D43" s="25" t="s">
        <v>42</v>
      </c>
      <c r="E43" s="2">
        <v>46113</v>
      </c>
      <c r="F43" s="2"/>
      <c r="G43" s="29"/>
      <c r="H43" s="25" t="s">
        <v>31</v>
      </c>
      <c r="I43" s="14">
        <f t="shared" si="3"/>
        <v>4.5</v>
      </c>
      <c r="J43" s="30"/>
      <c r="L43">
        <v>4.5</v>
      </c>
    </row>
    <row r="44" spans="1:13" x14ac:dyDescent="0.25">
      <c r="A44">
        <v>36</v>
      </c>
      <c r="B44" t="s">
        <v>75</v>
      </c>
      <c r="C44" s="31" t="s">
        <v>114</v>
      </c>
      <c r="D44" s="25" t="s">
        <v>42</v>
      </c>
      <c r="E44" s="2">
        <v>46113</v>
      </c>
      <c r="F44" s="2"/>
      <c r="G44" s="29"/>
      <c r="H44" s="25" t="s">
        <v>31</v>
      </c>
      <c r="I44" s="14">
        <f t="shared" si="3"/>
        <v>6</v>
      </c>
      <c r="J44" s="30"/>
      <c r="L44">
        <v>6</v>
      </c>
    </row>
    <row r="45" spans="1:13" x14ac:dyDescent="0.25">
      <c r="A45">
        <v>37</v>
      </c>
      <c r="B45" t="s">
        <v>75</v>
      </c>
      <c r="C45" s="32" t="s">
        <v>115</v>
      </c>
      <c r="D45" s="25" t="s">
        <v>42</v>
      </c>
      <c r="E45" s="2">
        <v>46113</v>
      </c>
      <c r="F45" s="2"/>
      <c r="G45" s="29"/>
      <c r="H45" s="25" t="s">
        <v>31</v>
      </c>
      <c r="I45" s="14">
        <f t="shared" si="3"/>
        <v>1</v>
      </c>
      <c r="J45" s="30"/>
      <c r="L45">
        <v>1</v>
      </c>
    </row>
    <row r="46" spans="1:13" x14ac:dyDescent="0.25">
      <c r="A46">
        <v>38</v>
      </c>
      <c r="B46" t="s">
        <v>75</v>
      </c>
      <c r="C46" s="31" t="s">
        <v>116</v>
      </c>
      <c r="D46" s="25" t="s">
        <v>42</v>
      </c>
      <c r="E46" s="2">
        <v>46113</v>
      </c>
      <c r="F46" s="2"/>
      <c r="G46" s="29"/>
      <c r="H46" s="25" t="s">
        <v>31</v>
      </c>
      <c r="I46" s="14">
        <f t="shared" si="3"/>
        <v>2</v>
      </c>
      <c r="M46">
        <v>2</v>
      </c>
    </row>
    <row r="47" spans="1:13" x14ac:dyDescent="0.25">
      <c r="A47">
        <v>39</v>
      </c>
      <c r="B47" t="s">
        <v>75</v>
      </c>
      <c r="C47" s="31" t="s">
        <v>117</v>
      </c>
      <c r="D47" s="25" t="s">
        <v>42</v>
      </c>
      <c r="E47" s="2">
        <v>46113</v>
      </c>
      <c r="F47" s="2"/>
      <c r="G47" s="29"/>
      <c r="H47" s="25" t="s">
        <v>31</v>
      </c>
      <c r="I47" s="14">
        <f t="shared" si="3"/>
        <v>5</v>
      </c>
      <c r="M47">
        <v>5</v>
      </c>
    </row>
    <row r="48" spans="1:13" x14ac:dyDescent="0.25">
      <c r="A48">
        <v>40</v>
      </c>
      <c r="B48" t="s">
        <v>75</v>
      </c>
      <c r="C48" s="31" t="s">
        <v>118</v>
      </c>
      <c r="D48" s="25" t="s">
        <v>42</v>
      </c>
      <c r="E48" s="2">
        <v>46113</v>
      </c>
      <c r="F48" s="2"/>
      <c r="G48" s="29"/>
      <c r="H48" s="25" t="s">
        <v>31</v>
      </c>
      <c r="I48" s="14">
        <f t="shared" si="3"/>
        <v>2</v>
      </c>
      <c r="M48">
        <v>2</v>
      </c>
    </row>
    <row r="49" spans="1:13" x14ac:dyDescent="0.25">
      <c r="A49">
        <v>41</v>
      </c>
      <c r="B49" t="s">
        <v>75</v>
      </c>
      <c r="C49" s="32" t="s">
        <v>119</v>
      </c>
      <c r="D49" s="25" t="s">
        <v>42</v>
      </c>
      <c r="E49" s="2">
        <v>46113</v>
      </c>
      <c r="F49" s="2"/>
      <c r="G49" s="29"/>
      <c r="H49" s="25" t="s">
        <v>31</v>
      </c>
      <c r="I49" s="14">
        <f t="shared" si="3"/>
        <v>2</v>
      </c>
      <c r="M49">
        <v>2</v>
      </c>
    </row>
    <row r="50" spans="1:13" x14ac:dyDescent="0.25">
      <c r="A50">
        <v>42</v>
      </c>
      <c r="B50" t="s">
        <v>75</v>
      </c>
      <c r="C50" s="32" t="s">
        <v>120</v>
      </c>
      <c r="D50" s="25" t="s">
        <v>42</v>
      </c>
      <c r="E50" s="2">
        <v>46113</v>
      </c>
      <c r="F50" s="2"/>
      <c r="G50" s="29"/>
      <c r="H50" s="25" t="s">
        <v>31</v>
      </c>
      <c r="I50" s="14">
        <f t="shared" si="3"/>
        <v>1.5</v>
      </c>
      <c r="M50">
        <v>1.5</v>
      </c>
    </row>
    <row r="51" spans="1:13" x14ac:dyDescent="0.25">
      <c r="A51">
        <v>43</v>
      </c>
      <c r="B51" t="s">
        <v>75</v>
      </c>
      <c r="C51" s="31" t="s">
        <v>121</v>
      </c>
      <c r="D51" s="25" t="s">
        <v>42</v>
      </c>
      <c r="E51" s="2">
        <v>46113</v>
      </c>
      <c r="F51" s="2"/>
      <c r="G51" s="29"/>
      <c r="H51" s="25" t="s">
        <v>31</v>
      </c>
      <c r="I51" s="14">
        <f t="shared" si="3"/>
        <v>2</v>
      </c>
      <c r="M51">
        <v>2</v>
      </c>
    </row>
    <row r="52" spans="1:13" x14ac:dyDescent="0.25">
      <c r="A52">
        <v>44</v>
      </c>
      <c r="B52" t="s">
        <v>75</v>
      </c>
      <c r="C52" s="31" t="s">
        <v>122</v>
      </c>
      <c r="D52" s="25" t="s">
        <v>42</v>
      </c>
      <c r="E52" s="2">
        <v>46113</v>
      </c>
      <c r="F52" s="2"/>
      <c r="G52" s="29"/>
      <c r="H52" s="25" t="s">
        <v>31</v>
      </c>
      <c r="I52" s="14">
        <f t="shared" si="3"/>
        <v>2</v>
      </c>
      <c r="M52">
        <v>2</v>
      </c>
    </row>
    <row r="53" spans="1:13" x14ac:dyDescent="0.25">
      <c r="A53">
        <v>45</v>
      </c>
      <c r="B53" t="s">
        <v>75</v>
      </c>
      <c r="C53" s="33" t="s">
        <v>123</v>
      </c>
      <c r="D53" s="25" t="s">
        <v>42</v>
      </c>
      <c r="E53" s="2">
        <v>46113</v>
      </c>
      <c r="F53" s="2"/>
      <c r="G53" s="29"/>
      <c r="H53" s="25" t="s">
        <v>31</v>
      </c>
      <c r="I53" s="14">
        <f t="shared" si="3"/>
        <v>3</v>
      </c>
      <c r="M53">
        <v>3</v>
      </c>
    </row>
    <row r="54" spans="1:13" x14ac:dyDescent="0.25">
      <c r="A54">
        <v>46</v>
      </c>
      <c r="B54" t="s">
        <v>75</v>
      </c>
      <c r="C54" s="33" t="s">
        <v>124</v>
      </c>
      <c r="D54" s="25" t="s">
        <v>42</v>
      </c>
      <c r="E54" s="2">
        <v>46113</v>
      </c>
      <c r="F54" s="2"/>
      <c r="G54" s="29"/>
      <c r="H54" s="25" t="s">
        <v>31</v>
      </c>
      <c r="I54" s="14">
        <f t="shared" si="3"/>
        <v>2.5</v>
      </c>
      <c r="M54">
        <v>2.5</v>
      </c>
    </row>
    <row r="55" spans="1:13" x14ac:dyDescent="0.25">
      <c r="A55">
        <v>47</v>
      </c>
      <c r="B55" t="s">
        <v>75</v>
      </c>
      <c r="C55" s="31" t="s">
        <v>125</v>
      </c>
      <c r="D55" s="25" t="s">
        <v>42</v>
      </c>
      <c r="E55" s="2">
        <v>46113</v>
      </c>
      <c r="F55" s="2"/>
      <c r="G55" s="29"/>
      <c r="H55" s="25" t="s">
        <v>31</v>
      </c>
      <c r="I55" s="14">
        <f t="shared" si="3"/>
        <v>1</v>
      </c>
      <c r="M55">
        <v>1</v>
      </c>
    </row>
    <row r="56" spans="1:13" x14ac:dyDescent="0.25">
      <c r="A56">
        <v>48</v>
      </c>
      <c r="B56" t="s">
        <v>75</v>
      </c>
      <c r="C56" s="31" t="s">
        <v>126</v>
      </c>
      <c r="D56" s="25" t="s">
        <v>42</v>
      </c>
      <c r="E56" s="2">
        <v>46113</v>
      </c>
      <c r="F56" s="2"/>
      <c r="G56" s="29"/>
      <c r="H56" s="25" t="s">
        <v>31</v>
      </c>
      <c r="I56" s="14">
        <f t="shared" si="3"/>
        <v>5</v>
      </c>
      <c r="M56">
        <v>5</v>
      </c>
    </row>
    <row r="57" spans="1:13" x14ac:dyDescent="0.25">
      <c r="A57">
        <v>49</v>
      </c>
      <c r="B57" t="s">
        <v>75</v>
      </c>
      <c r="C57" s="34" t="s">
        <v>129</v>
      </c>
      <c r="D57" s="25" t="s">
        <v>42</v>
      </c>
      <c r="E57" s="2">
        <v>46113</v>
      </c>
      <c r="F57" s="2"/>
      <c r="G57" s="29"/>
      <c r="H57" s="25" t="s">
        <v>31</v>
      </c>
      <c r="I57" s="14">
        <f t="shared" si="3"/>
        <v>2</v>
      </c>
      <c r="M57">
        <v>2</v>
      </c>
    </row>
    <row r="58" spans="1:13" x14ac:dyDescent="0.25">
      <c r="A58">
        <v>50</v>
      </c>
      <c r="B58" t="s">
        <v>75</v>
      </c>
      <c r="C58" s="35" t="s">
        <v>130</v>
      </c>
      <c r="D58" s="25" t="s">
        <v>42</v>
      </c>
      <c r="E58" s="2">
        <v>46113</v>
      </c>
      <c r="F58" s="2"/>
      <c r="G58" s="29"/>
      <c r="H58" s="25" t="s">
        <v>31</v>
      </c>
      <c r="I58" s="14">
        <f t="shared" si="3"/>
        <v>2</v>
      </c>
      <c r="M58">
        <v>2</v>
      </c>
    </row>
    <row r="59" spans="1:13" x14ac:dyDescent="0.25">
      <c r="A59">
        <v>51</v>
      </c>
      <c r="B59" t="s">
        <v>75</v>
      </c>
      <c r="C59" s="34" t="s">
        <v>131</v>
      </c>
      <c r="D59" s="25" t="s">
        <v>42</v>
      </c>
      <c r="E59" s="2">
        <v>46113</v>
      </c>
      <c r="F59" s="2"/>
      <c r="G59" s="29"/>
      <c r="H59" s="25" t="s">
        <v>31</v>
      </c>
      <c r="I59" s="14">
        <f t="shared" si="3"/>
        <v>2.5</v>
      </c>
      <c r="M59">
        <v>2.5</v>
      </c>
    </row>
    <row r="60" spans="1:13" x14ac:dyDescent="0.25">
      <c r="A60">
        <v>52</v>
      </c>
      <c r="B60" t="s">
        <v>75</v>
      </c>
      <c r="C60" s="34" t="s">
        <v>132</v>
      </c>
      <c r="D60" s="25" t="s">
        <v>42</v>
      </c>
      <c r="E60" s="2">
        <v>46113</v>
      </c>
      <c r="F60" s="2"/>
      <c r="G60" s="29"/>
      <c r="H60" s="25" t="s">
        <v>31</v>
      </c>
      <c r="I60" s="14">
        <f t="shared" si="3"/>
        <v>2</v>
      </c>
      <c r="M60">
        <v>2</v>
      </c>
    </row>
    <row r="61" spans="1:13" x14ac:dyDescent="0.25">
      <c r="A61">
        <v>53</v>
      </c>
      <c r="B61" t="s">
        <v>75</v>
      </c>
      <c r="C61" s="34" t="s">
        <v>133</v>
      </c>
      <c r="D61" s="25" t="s">
        <v>42</v>
      </c>
      <c r="E61" s="2">
        <v>46113</v>
      </c>
      <c r="F61" s="2"/>
      <c r="G61" s="29"/>
      <c r="H61" s="25" t="s">
        <v>31</v>
      </c>
      <c r="I61" s="14">
        <f t="shared" si="3"/>
        <v>2</v>
      </c>
      <c r="M61">
        <v>2</v>
      </c>
    </row>
    <row r="62" spans="1:13" x14ac:dyDescent="0.25">
      <c r="A62">
        <v>54</v>
      </c>
      <c r="B62" t="s">
        <v>75</v>
      </c>
      <c r="C62" s="34" t="s">
        <v>134</v>
      </c>
      <c r="D62" s="25" t="s">
        <v>42</v>
      </c>
      <c r="E62" s="2">
        <v>46113</v>
      </c>
      <c r="F62" s="2"/>
      <c r="G62" s="29"/>
      <c r="H62" s="25" t="s">
        <v>31</v>
      </c>
      <c r="I62" s="14">
        <f t="shared" si="3"/>
        <v>1.5</v>
      </c>
      <c r="M62">
        <v>1.5</v>
      </c>
    </row>
    <row r="63" spans="1:13" x14ac:dyDescent="0.25">
      <c r="A63">
        <v>55</v>
      </c>
      <c r="B63" t="s">
        <v>75</v>
      </c>
      <c r="C63" s="34" t="s">
        <v>135</v>
      </c>
      <c r="D63" s="25" t="s">
        <v>42</v>
      </c>
      <c r="E63" s="2">
        <v>46113</v>
      </c>
      <c r="F63" s="2"/>
      <c r="G63" s="29"/>
      <c r="H63" s="25" t="s">
        <v>31</v>
      </c>
      <c r="I63" s="14">
        <f t="shared" si="3"/>
        <v>0</v>
      </c>
    </row>
    <row r="64" spans="1:13" x14ac:dyDescent="0.25">
      <c r="A64">
        <v>56</v>
      </c>
      <c r="B64" t="s">
        <v>75</v>
      </c>
      <c r="C64" s="34" t="s">
        <v>137</v>
      </c>
      <c r="D64" s="25" t="s">
        <v>42</v>
      </c>
      <c r="E64" s="2">
        <v>46113</v>
      </c>
      <c r="F64" s="2"/>
      <c r="G64" s="29"/>
      <c r="H64" s="25" t="s">
        <v>31</v>
      </c>
      <c r="I64" s="14">
        <f t="shared" si="3"/>
        <v>0</v>
      </c>
    </row>
    <row r="65" spans="1:14" x14ac:dyDescent="0.25">
      <c r="A65">
        <v>57</v>
      </c>
      <c r="B65" t="s">
        <v>75</v>
      </c>
      <c r="C65" s="34" t="s">
        <v>138</v>
      </c>
      <c r="D65" s="25" t="s">
        <v>42</v>
      </c>
      <c r="E65" s="2">
        <v>46113</v>
      </c>
      <c r="F65" s="2"/>
      <c r="G65" s="29"/>
      <c r="H65" s="25" t="s">
        <v>31</v>
      </c>
      <c r="I65" s="14">
        <f t="shared" si="3"/>
        <v>0</v>
      </c>
    </row>
    <row r="66" spans="1:14" x14ac:dyDescent="0.25">
      <c r="A66">
        <v>58</v>
      </c>
      <c r="B66" t="s">
        <v>75</v>
      </c>
      <c r="C66" s="34" t="s">
        <v>139</v>
      </c>
      <c r="D66" s="25" t="s">
        <v>42</v>
      </c>
      <c r="E66" s="2">
        <v>46113</v>
      </c>
      <c r="F66" s="2"/>
      <c r="G66" s="29"/>
      <c r="H66" s="25" t="s">
        <v>31</v>
      </c>
      <c r="I66" s="14">
        <f t="shared" si="3"/>
        <v>0</v>
      </c>
    </row>
    <row r="67" spans="1:14" x14ac:dyDescent="0.25">
      <c r="A67">
        <v>59</v>
      </c>
      <c r="B67" t="s">
        <v>75</v>
      </c>
      <c r="C67" s="34" t="s">
        <v>136</v>
      </c>
      <c r="D67" s="25" t="s">
        <v>42</v>
      </c>
      <c r="E67" s="2">
        <v>46113</v>
      </c>
      <c r="F67" s="2"/>
      <c r="G67" s="29"/>
      <c r="H67" s="25" t="s">
        <v>31</v>
      </c>
      <c r="I67" s="14">
        <f t="shared" si="3"/>
        <v>0</v>
      </c>
    </row>
    <row r="68" spans="1:14" ht="15.75" thickBot="1" x14ac:dyDescent="0.3">
      <c r="A68" s="13" t="s">
        <v>20</v>
      </c>
      <c r="B68" s="9"/>
      <c r="C68" s="9"/>
      <c r="D68" s="9"/>
      <c r="E68" s="9"/>
      <c r="F68" s="9"/>
      <c r="G68" s="9"/>
      <c r="H68" s="9"/>
      <c r="I68" s="15">
        <f t="shared" ref="I68:N68" si="4">SUM(I8:I67)</f>
        <v>160</v>
      </c>
      <c r="J68" s="15">
        <f t="shared" si="4"/>
        <v>40</v>
      </c>
      <c r="K68" s="15">
        <f t="shared" si="4"/>
        <v>40</v>
      </c>
      <c r="L68" s="15">
        <f t="shared" si="4"/>
        <v>40</v>
      </c>
      <c r="M68" s="15">
        <f t="shared" si="4"/>
        <v>40</v>
      </c>
      <c r="N68" s="15">
        <f t="shared" si="4"/>
        <v>0</v>
      </c>
    </row>
    <row r="69" spans="1:14" ht="15.75" thickTop="1" x14ac:dyDescent="0.25">
      <c r="I69" s="14"/>
      <c r="J69" s="14"/>
      <c r="K69" s="14"/>
      <c r="L69" s="14"/>
      <c r="M69" s="14"/>
      <c r="N69" s="14"/>
    </row>
    <row r="70" spans="1:14" x14ac:dyDescent="0.25">
      <c r="A70" s="1" t="s">
        <v>21</v>
      </c>
      <c r="I70" s="14"/>
      <c r="J70" s="14"/>
      <c r="K70" s="14"/>
      <c r="L70" s="14"/>
      <c r="M70" s="14"/>
      <c r="N70" s="14"/>
    </row>
    <row r="71" spans="1:14" x14ac:dyDescent="0.25">
      <c r="B71" t="s">
        <v>22</v>
      </c>
      <c r="C71" s="28" t="s">
        <v>82</v>
      </c>
      <c r="D71" t="s">
        <v>81</v>
      </c>
      <c r="E71" s="2"/>
      <c r="I71" s="14">
        <f>SUM(J71:N71)</f>
        <v>0</v>
      </c>
      <c r="J71" s="14"/>
      <c r="K71" s="14"/>
      <c r="L71" s="14"/>
      <c r="M71" s="14"/>
      <c r="N71" s="14"/>
    </row>
    <row r="72" spans="1:14" x14ac:dyDescent="0.25">
      <c r="B72" t="s">
        <v>23</v>
      </c>
      <c r="I72" s="14">
        <f>SUM(J72:N72)</f>
        <v>0</v>
      </c>
      <c r="J72" s="14"/>
      <c r="K72" s="14"/>
      <c r="L72" s="14"/>
      <c r="M72" s="14"/>
      <c r="N72" s="14"/>
    </row>
    <row r="73" spans="1:14" x14ac:dyDescent="0.25">
      <c r="B73" t="s">
        <v>24</v>
      </c>
      <c r="I73" s="14">
        <f>SUM(J73:N73)</f>
        <v>0</v>
      </c>
      <c r="J73" s="14"/>
      <c r="K73" s="14"/>
      <c r="L73" s="14"/>
      <c r="M73" s="14"/>
      <c r="N73" s="14"/>
    </row>
    <row r="74" spans="1:14" x14ac:dyDescent="0.25">
      <c r="B74" t="s">
        <v>25</v>
      </c>
      <c r="E74" s="2"/>
      <c r="I74" s="14">
        <f>SUM(J74:N74)</f>
        <v>0</v>
      </c>
      <c r="J74" s="14"/>
      <c r="K74" s="14"/>
      <c r="L74" s="14"/>
      <c r="M74" s="14"/>
      <c r="N74" s="14"/>
    </row>
    <row r="75" spans="1:14" x14ac:dyDescent="0.25">
      <c r="B75" t="s">
        <v>26</v>
      </c>
      <c r="I75" s="14">
        <f>SUM(J75:N75)</f>
        <v>0</v>
      </c>
      <c r="J75" s="14"/>
      <c r="K75" s="14"/>
      <c r="L75" s="14"/>
      <c r="M75" s="14"/>
      <c r="N75" s="14"/>
    </row>
    <row r="77" spans="1:14" ht="15.75" thickBot="1" x14ac:dyDescent="0.3">
      <c r="A77" s="13" t="s">
        <v>27</v>
      </c>
      <c r="B77" s="9"/>
      <c r="C77" s="9"/>
      <c r="D77" s="9"/>
      <c r="E77" s="9"/>
      <c r="F77" s="9"/>
      <c r="G77" s="9"/>
      <c r="H77" s="9"/>
      <c r="I77" s="15">
        <f>SUM(I71:I76)</f>
        <v>0</v>
      </c>
      <c r="J77" s="15">
        <f>SUM(J71:J76)</f>
        <v>0</v>
      </c>
      <c r="K77" s="15">
        <f t="shared" ref="K77:N77" si="5">SUM(K71:K76)</f>
        <v>0</v>
      </c>
      <c r="L77" s="15">
        <f t="shared" si="5"/>
        <v>0</v>
      </c>
      <c r="M77" s="15">
        <f t="shared" si="5"/>
        <v>0</v>
      </c>
      <c r="N77" s="15">
        <f t="shared" si="5"/>
        <v>0</v>
      </c>
    </row>
    <row r="78" spans="1:14" ht="15.75" thickTop="1" x14ac:dyDescent="0.25">
      <c r="I78" s="14"/>
      <c r="J78" s="14"/>
      <c r="K78" s="14"/>
      <c r="L78" s="14"/>
      <c r="M78" s="14"/>
      <c r="N78" s="14"/>
    </row>
    <row r="79" spans="1:14" ht="15.75" thickBot="1" x14ac:dyDescent="0.3">
      <c r="A79" s="13" t="s">
        <v>28</v>
      </c>
      <c r="B79" s="9"/>
      <c r="C79" s="9"/>
      <c r="D79" s="9"/>
      <c r="E79" s="9"/>
      <c r="F79" s="9"/>
      <c r="G79" s="9"/>
      <c r="H79" s="9"/>
      <c r="I79" s="15">
        <f>+I77+I68</f>
        <v>160</v>
      </c>
      <c r="J79" s="15">
        <f t="shared" ref="J79:N79" si="6">+J77+J68</f>
        <v>40</v>
      </c>
      <c r="K79" s="15">
        <f t="shared" si="6"/>
        <v>40</v>
      </c>
      <c r="L79" s="15">
        <f t="shared" si="6"/>
        <v>40</v>
      </c>
      <c r="M79" s="15">
        <f t="shared" si="6"/>
        <v>40</v>
      </c>
      <c r="N79" s="15">
        <f t="shared" si="6"/>
        <v>0</v>
      </c>
    </row>
    <row r="80" spans="1:14" ht="15.75" thickTop="1" x14ac:dyDescent="0.25"/>
    <row r="82" spans="1:14" ht="15.75" thickBot="1" x14ac:dyDescent="0.3">
      <c r="A82" s="13" t="s">
        <v>29</v>
      </c>
      <c r="B82" s="9"/>
      <c r="C82" s="9"/>
      <c r="D82" s="9"/>
      <c r="E82" s="9"/>
      <c r="F82" s="9"/>
      <c r="G82" s="9"/>
      <c r="H82" s="9"/>
      <c r="I82" s="15"/>
      <c r="J82" s="15">
        <v>40</v>
      </c>
      <c r="K82" s="15">
        <v>40</v>
      </c>
      <c r="L82" s="15">
        <v>40</v>
      </c>
      <c r="M82" s="15">
        <v>40</v>
      </c>
      <c r="N82" s="15"/>
    </row>
    <row r="83" spans="1:14" ht="16.5" thickTop="1" thickBot="1" x14ac:dyDescent="0.3">
      <c r="A83" s="13" t="s">
        <v>30</v>
      </c>
      <c r="B83" s="9"/>
      <c r="C83" s="9"/>
      <c r="D83" s="9"/>
      <c r="E83" s="9"/>
      <c r="F83" s="9"/>
      <c r="G83" s="9"/>
      <c r="H83" s="9"/>
      <c r="I83" s="15"/>
      <c r="J83" s="15">
        <f>+J82-J79</f>
        <v>0</v>
      </c>
      <c r="K83" s="15">
        <f t="shared" ref="K83:M83" si="7">+K82-K79</f>
        <v>0</v>
      </c>
      <c r="L83" s="15">
        <f t="shared" si="7"/>
        <v>0</v>
      </c>
      <c r="M83" s="15">
        <f t="shared" si="7"/>
        <v>0</v>
      </c>
      <c r="N83" s="15"/>
    </row>
    <row r="84" spans="1:14" ht="15.75" thickTop="1" x14ac:dyDescent="0.25"/>
  </sheetData>
  <protectedRanges>
    <protectedRange sqref="A71:XFD76 A8:XFD8 A9:A67 C10:C67 H9:XFD67" name="Range1"/>
    <protectedRange sqref="D9:D67" name="Range1_2"/>
    <protectedRange sqref="E9:G67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H9:H67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8" workbookViewId="0">
      <selection activeCell="C19" sqref="C19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Pragnesh Soni</cp:lastModifiedBy>
  <cp:revision/>
  <dcterms:created xsi:type="dcterms:W3CDTF">2015-06-05T18:17:20Z</dcterms:created>
  <dcterms:modified xsi:type="dcterms:W3CDTF">2026-05-04T07:16:06Z</dcterms:modified>
  <cp:category/>
  <cp:contentStatus/>
</cp:coreProperties>
</file>