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Pragnesh Soni\"/>
    </mc:Choice>
  </mc:AlternateContent>
  <xr:revisionPtr revIDLastSave="0" documentId="13_ncr:1_{4FE6DD36-0DC2-4576-B117-8CF8D83E8167}" xr6:coauthVersionLast="47" xr6:coauthVersionMax="47" xr10:uidLastSave="{00000000-0000-0000-0000-000000000000}"/>
  <bookViews>
    <workbookView xWindow="20370" yWindow="-120" windowWidth="20730" windowHeight="11040" xr2:uid="{B02487C1-7B00-46FB-9FD9-7E848764AF91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WIP!$A$7:$N$36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39" i="1"/>
  <c r="I38" i="1"/>
  <c r="I37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5" i="1"/>
  <c r="I35" i="1" l="1"/>
  <c r="I11" i="1"/>
  <c r="I10" i="1"/>
  <c r="I12" i="1"/>
  <c r="I13" i="1"/>
  <c r="I14" i="1"/>
  <c r="I31" i="1"/>
  <c r="I32" i="1"/>
  <c r="I33" i="1"/>
  <c r="I34" i="1"/>
  <c r="I36" i="1"/>
  <c r="I9" i="1"/>
  <c r="I44" i="1"/>
  <c r="I45" i="1"/>
  <c r="I46" i="1"/>
  <c r="I47" i="1"/>
  <c r="I48" i="1"/>
  <c r="J50" i="1"/>
  <c r="J41" i="1" l="1"/>
  <c r="J52" i="1" s="1"/>
  <c r="J56" i="1" s="1"/>
  <c r="I50" i="1"/>
  <c r="I41" i="1"/>
  <c r="I52" i="1" l="1"/>
  <c r="N41" i="1" l="1"/>
  <c r="M41" i="1"/>
  <c r="L41" i="1"/>
  <c r="K41" i="1"/>
  <c r="N50" i="1"/>
  <c r="M50" i="1"/>
  <c r="L50" i="1"/>
  <c r="K50" i="1"/>
  <c r="K6" i="1"/>
  <c r="L6" i="1" s="1"/>
  <c r="M6" i="1" s="1"/>
  <c r="M52" i="1" l="1"/>
  <c r="M56" i="1" s="1"/>
  <c r="K52" i="1"/>
  <c r="K56" i="1" s="1"/>
  <c r="N52" i="1"/>
  <c r="L52" i="1"/>
  <c r="L56" i="1" s="1"/>
</calcChain>
</file>

<file path=xl/sharedStrings.xml><?xml version="1.0" encoding="utf-8"?>
<sst xmlns="http://schemas.openxmlformats.org/spreadsheetml/2006/main" count="205" uniqueCount="107">
  <si>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</si>
  <si>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</si>
  <si>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</si>
  <si>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</si>
  <si>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</si>
  <si>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</si>
  <si>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</si>
  <si>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</si>
  <si>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</si>
  <si>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</si>
  <si>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</si>
  <si>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</si>
  <si>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</si>
  <si>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</si>
  <si>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</si>
  <si>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</si>
  <si>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</si>
  <si>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</si>
  <si>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</si>
  <si>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</si>
  <si>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</si>
  <si>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</si>
  <si>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</si>
  <si>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</si>
  <si>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</si>
  <si>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</si>
  <si>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</si>
  <si>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</si>
  <si>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</si>
  <si>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</si>
  <si>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</si>
  <si>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</si>
  <si>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</si>
  <si>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</si>
  <si>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</si>
  <si>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</si>
  <si>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</si>
  <si>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</si>
  <si>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</si>
  <si>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</si>
  <si>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</si>
  <si>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</si>
  <si>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</si>
  <si>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</si>
  <si>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</si>
  <si>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</si>
  <si>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</si>
  <si>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</si>
  <si>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</si>
  <si>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</si>
  <si>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</si>
  <si>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</si>
  <si>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</si>
  <si>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</si>
  <si>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</si>
  <si>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</si>
  <si>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</si>
  <si>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</si>
  <si>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</si>
  <si>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</si>
  <si>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</si>
  <si>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</si>
  <si>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</si>
  <si>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</si>
  <si>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</si>
  <si>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</si>
  <si>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</si>
  <si>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</si>
  <si>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</si>
  <si>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</si>
  <si>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</si>
  <si>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</si>
  <si>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</si>
  <si>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</si>
  <si>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Call with client</t>
  </si>
  <si>
    <t>Yug Modi</t>
  </si>
  <si>
    <t>Supervisor</t>
  </si>
  <si>
    <t>Matthew Mann CPA PLLC</t>
  </si>
  <si>
    <t>Christy Shepherd Ervin</t>
  </si>
  <si>
    <t>7G Wealth Management</t>
  </si>
  <si>
    <t>Fittest Core</t>
  </si>
  <si>
    <t>Foothill Montessori of Salt Lake</t>
  </si>
  <si>
    <t>Heat Miser Trucking</t>
  </si>
  <si>
    <t>Sonicboom Consulting LLC</t>
  </si>
  <si>
    <t>Strong Ridge</t>
  </si>
  <si>
    <t>Law Offices of Wade Taylor</t>
  </si>
  <si>
    <t>Loyalty Contracting and Restoration</t>
  </si>
  <si>
    <t>Northridge Roofing</t>
  </si>
  <si>
    <t>On the Move Movers</t>
  </si>
  <si>
    <t>PPD Studio</t>
  </si>
  <si>
    <t>Sigma Influence Solutions</t>
  </si>
  <si>
    <t>The Simple Interface</t>
  </si>
  <si>
    <t>Top A1 Contracting</t>
  </si>
  <si>
    <t>Western Sky Ranch</t>
  </si>
  <si>
    <t>Kristy Freeman Clark Insurance</t>
  </si>
  <si>
    <t>City Sewing Machine</t>
  </si>
  <si>
    <t>L&amp;Y Tax Advisors (Jake Lambert)</t>
  </si>
  <si>
    <t>Do It Right Lawn Care</t>
  </si>
  <si>
    <t>KTC</t>
  </si>
  <si>
    <t>Truk Stuff</t>
  </si>
  <si>
    <t>Sasnett Holding - Specialty Drilling</t>
  </si>
  <si>
    <t>Oklahoma Stud of Purcell LLC (Profuture Equine Networking LLC (OK))</t>
  </si>
  <si>
    <t>Pragneshkumar Soni</t>
  </si>
  <si>
    <t>Michael Cook Catering</t>
  </si>
  <si>
    <t>Palma Financial</t>
  </si>
  <si>
    <t>Move Like a Motha</t>
  </si>
  <si>
    <t>Interactive Global Consultancy (GIG)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</si>
</sst>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zoomScale="85" zoomScaleNormal="85" workbookViewId="0">
      <pane ySplit="8" topLeftCell="A9" activePane="bottomLeft" state="frozen"/>
      <selection pane="bottomLeft" activeCell="J32" sqref="J32"/>
    </sheetView>
  </sheetViews>
  <sheetFormatPr defaultRowHeight="15" x14ac:dyDescent="0.25"/>
  <cols>
    <col min="1" max="1" width="24.5703125" bestFit="1" customWidth="1"/>
    <col min="2" max="2" width="25.140625" customWidth="1"/>
    <col min="3" max="3" width="21.285156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28" t="s">
        <v>75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28" t="s">
        <v>76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28" t="s">
        <v>102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46146</v>
      </c>
      <c r="K6" s="2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40</v>
      </c>
      <c r="E7" s="3" t="s">
        <v>9</v>
      </c>
      <c r="F7" s="3" t="s">
        <v>10</v>
      </c>
      <c r="G7" s="3" t="s">
        <v>11</v>
      </c>
      <c r="H7" s="24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4" t="s">
        <v>5</v>
      </c>
    </row>
    <row r="8" spans="1:14" x14ac:dyDescent="0.25">
      <c r="A8" s="7" t="s">
        <v>18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78</v>
      </c>
      <c r="C9" t="s">
        <v>79</v>
      </c>
      <c r="D9" s="25" t="s">
        <v>52</v>
      </c>
      <c r="E9" s="2">
        <v>46146</v>
      </c>
      <c r="F9" s="2">
        <v>46157</v>
      </c>
      <c r="G9" s="2"/>
      <c r="H9" s="25" t="s">
        <v>31</v>
      </c>
      <c r="I9" s="14">
        <f>SUM(J9:N9)</f>
        <v>1.25</v>
      </c>
      <c r="J9" s="14">
        <v>1.25</v>
      </c>
      <c r="K9" s="14">
        <v>0</v>
      </c>
      <c r="M9" s="14"/>
      <c r="N9" s="14"/>
    </row>
    <row r="10" spans="1:14" x14ac:dyDescent="0.25">
      <c r="A10">
        <v>2</v>
      </c>
      <c r="B10" t="s">
        <v>78</v>
      </c>
      <c r="C10" t="s">
        <v>106</v>
      </c>
      <c r="D10" s="25" t="s">
        <v>52</v>
      </c>
      <c r="E10" s="2">
        <v>46146</v>
      </c>
      <c r="F10" s="2">
        <v>46157</v>
      </c>
      <c r="G10" s="2"/>
      <c r="H10" s="25" t="s">
        <v>31</v>
      </c>
      <c r="I10" s="14">
        <f>SUM(J10:N10)</f>
        <v>2.5</v>
      </c>
      <c r="J10" s="14">
        <v>1</v>
      </c>
      <c r="K10" s="14">
        <v>1.5</v>
      </c>
      <c r="M10" s="14"/>
    </row>
    <row r="11" spans="1:14" x14ac:dyDescent="0.25">
      <c r="A11">
        <v>3</v>
      </c>
      <c r="B11" t="s">
        <v>78</v>
      </c>
      <c r="C11" t="s">
        <v>97</v>
      </c>
      <c r="D11" s="25" t="s">
        <v>52</v>
      </c>
      <c r="E11" s="2">
        <v>46146</v>
      </c>
      <c r="F11" s="2">
        <v>46157</v>
      </c>
      <c r="G11" s="2"/>
      <c r="H11" s="25" t="s">
        <v>31</v>
      </c>
      <c r="I11" s="14">
        <f>SUM(J11:N11)</f>
        <v>1.75</v>
      </c>
      <c r="J11" s="14">
        <v>1</v>
      </c>
      <c r="K11" s="14">
        <v>0.75</v>
      </c>
      <c r="M11" s="14"/>
    </row>
    <row r="12" spans="1:14" x14ac:dyDescent="0.25">
      <c r="A12">
        <v>4</v>
      </c>
      <c r="B12" t="s">
        <v>78</v>
      </c>
      <c r="C12" t="s">
        <v>80</v>
      </c>
      <c r="D12" s="25" t="s">
        <v>52</v>
      </c>
      <c r="E12" s="2">
        <v>46146</v>
      </c>
      <c r="F12" s="2">
        <v>46157</v>
      </c>
      <c r="G12" s="2"/>
      <c r="H12" s="25" t="s">
        <v>31</v>
      </c>
      <c r="I12" s="14">
        <f>SUM(J12:N12)</f>
        <v>1.75</v>
      </c>
      <c r="J12" s="14">
        <v>1.75</v>
      </c>
      <c r="K12" s="14">
        <v>0</v>
      </c>
      <c r="M12" s="14"/>
    </row>
    <row r="13" spans="1:14" x14ac:dyDescent="0.25">
      <c r="A13">
        <v>5</v>
      </c>
      <c r="B13" t="s">
        <v>78</v>
      </c>
      <c r="C13" t="s">
        <v>81</v>
      </c>
      <c r="D13" s="25" t="s">
        <v>52</v>
      </c>
      <c r="E13" s="2">
        <v>46146</v>
      </c>
      <c r="F13" s="2">
        <v>46157</v>
      </c>
      <c r="G13" s="2"/>
      <c r="H13" s="25" t="s">
        <v>31</v>
      </c>
      <c r="I13" s="14">
        <f>SUM(J13:N13)</f>
        <v>2.25</v>
      </c>
      <c r="J13" s="14">
        <v>0.5</v>
      </c>
      <c r="K13" s="14">
        <v>1.75</v>
      </c>
      <c r="M13" s="14"/>
    </row>
    <row r="14" spans="1:14" x14ac:dyDescent="0.25">
      <c r="A14">
        <v>6</v>
      </c>
      <c r="B14" t="s">
        <v>78</v>
      </c>
      <c r="C14" t="s">
        <v>82</v>
      </c>
      <c r="D14" s="25" t="s">
        <v>52</v>
      </c>
      <c r="E14" s="2">
        <v>46146</v>
      </c>
      <c r="F14" s="2">
        <v>46157</v>
      </c>
      <c r="G14" s="2"/>
      <c r="H14" s="25" t="s">
        <v>31</v>
      </c>
      <c r="I14" s="14">
        <f>SUM(J14:N14)</f>
        <v>1.25</v>
      </c>
      <c r="J14" s="14">
        <v>1.25</v>
      </c>
      <c r="K14" s="14">
        <v>0</v>
      </c>
      <c r="M14" s="14"/>
    </row>
    <row r="15" spans="1:14" x14ac:dyDescent="0.25">
      <c r="A15">
        <v>7</v>
      </c>
      <c r="B15" t="s">
        <v>78</v>
      </c>
      <c r="C15" t="s">
        <v>98</v>
      </c>
      <c r="D15" s="25" t="s">
        <v>52</v>
      </c>
      <c r="E15" s="2">
        <v>46146</v>
      </c>
      <c r="F15" s="2">
        <v>46157</v>
      </c>
      <c r="G15" s="2"/>
      <c r="H15" s="25" t="s">
        <v>31</v>
      </c>
      <c r="I15" s="14">
        <f>SUM(J15:N15)</f>
        <v>2</v>
      </c>
      <c r="J15" s="14">
        <v>0.5</v>
      </c>
      <c r="K15" s="14">
        <v>1.5</v>
      </c>
      <c r="M15" s="14"/>
    </row>
    <row r="16" spans="1:14" x14ac:dyDescent="0.25">
      <c r="A16">
        <v>8</v>
      </c>
      <c r="B16" t="s">
        <v>78</v>
      </c>
      <c r="C16" t="s">
        <v>105</v>
      </c>
      <c r="D16" s="25" t="s">
        <v>52</v>
      </c>
      <c r="E16" s="2">
        <v>46146</v>
      </c>
      <c r="F16" s="2">
        <v>46157</v>
      </c>
      <c r="G16" s="2"/>
      <c r="H16" s="25" t="s">
        <v>31</v>
      </c>
      <c r="I16" s="14">
        <f>SUM(J16:N16)</f>
        <v>0.75</v>
      </c>
      <c r="J16" s="14">
        <v>0.75</v>
      </c>
      <c r="K16" s="14">
        <v>0</v>
      </c>
      <c r="M16" s="14"/>
    </row>
    <row r="17" spans="1:13" x14ac:dyDescent="0.25">
      <c r="A17">
        <v>9</v>
      </c>
      <c r="B17" t="s">
        <v>78</v>
      </c>
      <c r="C17" t="s">
        <v>85</v>
      </c>
      <c r="D17" s="25" t="s">
        <v>52</v>
      </c>
      <c r="E17" s="2">
        <v>46146</v>
      </c>
      <c r="F17" s="2">
        <v>46157</v>
      </c>
      <c r="G17" s="2"/>
      <c r="H17" s="25" t="s">
        <v>31</v>
      </c>
      <c r="I17" s="14">
        <f>SUM(J17:N17)</f>
        <v>0.5</v>
      </c>
      <c r="J17" s="14">
        <v>0</v>
      </c>
      <c r="K17" s="14">
        <v>0.5</v>
      </c>
      <c r="M17" s="14"/>
    </row>
    <row r="18" spans="1:13" x14ac:dyDescent="0.25">
      <c r="A18">
        <v>10</v>
      </c>
      <c r="B18" t="s">
        <v>78</v>
      </c>
      <c r="C18" t="s">
        <v>86</v>
      </c>
      <c r="D18" s="25" t="s">
        <v>52</v>
      </c>
      <c r="E18" s="2">
        <v>46146</v>
      </c>
      <c r="F18" s="2">
        <v>46157</v>
      </c>
      <c r="G18" s="2"/>
      <c r="H18" s="25" t="s">
        <v>31</v>
      </c>
      <c r="I18" s="14">
        <f>SUM(J18:N18)</f>
        <v>1.25</v>
      </c>
      <c r="J18" s="14">
        <v>0</v>
      </c>
      <c r="K18" s="14">
        <v>1.25</v>
      </c>
      <c r="M18" s="14"/>
    </row>
    <row r="19" spans="1:13" x14ac:dyDescent="0.25">
      <c r="A19">
        <v>11</v>
      </c>
      <c r="B19" t="s">
        <v>78</v>
      </c>
      <c r="C19" t="s">
        <v>87</v>
      </c>
      <c r="D19" s="25" t="s">
        <v>52</v>
      </c>
      <c r="E19" s="2">
        <v>46146</v>
      </c>
      <c r="F19" s="2">
        <v>46157</v>
      </c>
      <c r="G19" s="2"/>
      <c r="H19" s="25" t="s">
        <v>31</v>
      </c>
      <c r="I19" s="14">
        <f>SUM(J19:N19)</f>
        <v>1.75</v>
      </c>
      <c r="J19" s="14">
        <v>1.5</v>
      </c>
      <c r="K19" s="14">
        <v>0.25</v>
      </c>
      <c r="M19" s="14"/>
    </row>
    <row r="20" spans="1:13" x14ac:dyDescent="0.25">
      <c r="A20">
        <v>12</v>
      </c>
      <c r="B20" t="s">
        <v>78</v>
      </c>
      <c r="C20" t="s">
        <v>88</v>
      </c>
      <c r="D20" s="25" t="s">
        <v>52</v>
      </c>
      <c r="E20" s="2">
        <v>46146</v>
      </c>
      <c r="F20" s="2">
        <v>46157</v>
      </c>
      <c r="G20" s="2"/>
      <c r="H20" s="25" t="s">
        <v>31</v>
      </c>
      <c r="I20" s="14">
        <f>SUM(J20:N20)</f>
        <v>1.5</v>
      </c>
      <c r="J20" s="14">
        <v>1.5</v>
      </c>
      <c r="K20" s="14">
        <v>0</v>
      </c>
      <c r="M20" s="14"/>
    </row>
    <row r="21" spans="1:13" x14ac:dyDescent="0.25">
      <c r="A21">
        <v>13</v>
      </c>
      <c r="B21" t="s">
        <v>78</v>
      </c>
      <c r="C21" t="s">
        <v>89</v>
      </c>
      <c r="D21" s="25" t="s">
        <v>52</v>
      </c>
      <c r="E21" s="2">
        <v>46146</v>
      </c>
      <c r="F21" s="2">
        <v>46157</v>
      </c>
      <c r="G21" s="2"/>
      <c r="H21" s="25" t="s">
        <v>31</v>
      </c>
      <c r="I21" s="14">
        <f>SUM(J21:N21)</f>
        <v>1</v>
      </c>
      <c r="J21" s="14">
        <v>1</v>
      </c>
      <c r="K21" s="14">
        <v>0</v>
      </c>
      <c r="M21" s="14"/>
    </row>
    <row r="22" spans="1:13" x14ac:dyDescent="0.25">
      <c r="A22">
        <v>14</v>
      </c>
      <c r="B22" t="s">
        <v>78</v>
      </c>
      <c r="C22" t="s">
        <v>90</v>
      </c>
      <c r="D22" s="25" t="s">
        <v>52</v>
      </c>
      <c r="E22" s="2">
        <v>46146</v>
      </c>
      <c r="F22" s="2">
        <v>46157</v>
      </c>
      <c r="G22" s="2"/>
      <c r="H22" s="25" t="s">
        <v>31</v>
      </c>
      <c r="I22" s="14">
        <f>SUM(J22:N22)</f>
        <v>0.5</v>
      </c>
      <c r="J22" s="14">
        <v>0.5</v>
      </c>
      <c r="K22" s="14">
        <v>0</v>
      </c>
      <c r="M22" s="14"/>
    </row>
    <row r="23" spans="1:13" x14ac:dyDescent="0.25">
      <c r="A23">
        <v>15</v>
      </c>
      <c r="B23" t="s">
        <v>78</v>
      </c>
      <c r="C23" t="s">
        <v>83</v>
      </c>
      <c r="D23" s="25" t="s">
        <v>52</v>
      </c>
      <c r="E23" s="2">
        <v>46146</v>
      </c>
      <c r="F23" s="2">
        <v>46157</v>
      </c>
      <c r="G23" s="2"/>
      <c r="H23" s="25" t="s">
        <v>31</v>
      </c>
      <c r="I23" s="14">
        <f>SUM(J23:N23)</f>
        <v>1</v>
      </c>
      <c r="J23" s="14">
        <v>1</v>
      </c>
      <c r="K23" s="14">
        <v>0</v>
      </c>
      <c r="M23" s="14"/>
    </row>
    <row r="24" spans="1:13" x14ac:dyDescent="0.25">
      <c r="A24">
        <v>16</v>
      </c>
      <c r="B24" t="s">
        <v>78</v>
      </c>
      <c r="C24" t="s">
        <v>84</v>
      </c>
      <c r="D24" s="25" t="s">
        <v>52</v>
      </c>
      <c r="E24" s="2">
        <v>46146</v>
      </c>
      <c r="F24" s="2">
        <v>46157</v>
      </c>
      <c r="G24" s="2"/>
      <c r="H24" s="25" t="s">
        <v>31</v>
      </c>
      <c r="I24" s="14">
        <f>SUM(J24:N24)</f>
        <v>2</v>
      </c>
      <c r="J24" s="14">
        <v>1.25</v>
      </c>
      <c r="K24" s="14">
        <v>0.75</v>
      </c>
      <c r="M24" s="14"/>
    </row>
    <row r="25" spans="1:13" x14ac:dyDescent="0.25">
      <c r="A25">
        <v>17</v>
      </c>
      <c r="B25" t="s">
        <v>78</v>
      </c>
      <c r="C25" t="s">
        <v>99</v>
      </c>
      <c r="D25" s="25" t="s">
        <v>52</v>
      </c>
      <c r="E25" s="2">
        <v>46146</v>
      </c>
      <c r="F25" s="2">
        <v>46157</v>
      </c>
      <c r="G25" s="2"/>
      <c r="H25" s="25" t="s">
        <v>31</v>
      </c>
      <c r="I25" s="14">
        <f>SUM(J25:N25)</f>
        <v>0.75</v>
      </c>
      <c r="J25" s="14">
        <v>0</v>
      </c>
      <c r="K25" s="14">
        <v>0.75</v>
      </c>
      <c r="M25" s="14"/>
    </row>
    <row r="26" spans="1:13" x14ac:dyDescent="0.25">
      <c r="A26">
        <v>18</v>
      </c>
      <c r="B26" t="s">
        <v>78</v>
      </c>
      <c r="C26" t="s">
        <v>91</v>
      </c>
      <c r="D26" s="25" t="s">
        <v>52</v>
      </c>
      <c r="E26" s="2">
        <v>46146</v>
      </c>
      <c r="F26" s="2">
        <v>46157</v>
      </c>
      <c r="G26" s="2"/>
      <c r="H26" s="25" t="s">
        <v>31</v>
      </c>
      <c r="I26" s="14">
        <f>SUM(J26:N26)</f>
        <v>1.25</v>
      </c>
      <c r="J26" s="14">
        <v>1.25</v>
      </c>
      <c r="K26" s="14">
        <v>0</v>
      </c>
      <c r="M26" s="14"/>
    </row>
    <row r="27" spans="1:13" x14ac:dyDescent="0.25">
      <c r="A27">
        <v>19</v>
      </c>
      <c r="B27" t="s">
        <v>78</v>
      </c>
      <c r="C27" t="s">
        <v>92</v>
      </c>
      <c r="D27" s="25" t="s">
        <v>52</v>
      </c>
      <c r="E27" s="2">
        <v>46146</v>
      </c>
      <c r="F27" s="2">
        <v>46157</v>
      </c>
      <c r="G27" s="2"/>
      <c r="H27" s="25" t="s">
        <v>31</v>
      </c>
      <c r="I27" s="14">
        <f>SUM(J27:N27)</f>
        <v>3.5</v>
      </c>
      <c r="J27" s="14">
        <v>2</v>
      </c>
      <c r="K27" s="14">
        <v>1.5</v>
      </c>
      <c r="M27" s="14"/>
    </row>
    <row r="28" spans="1:13" x14ac:dyDescent="0.25">
      <c r="A28">
        <v>20</v>
      </c>
      <c r="B28" t="s">
        <v>78</v>
      </c>
      <c r="C28" t="s">
        <v>93</v>
      </c>
      <c r="D28" s="25" t="s">
        <v>52</v>
      </c>
      <c r="E28" s="2">
        <v>46146</v>
      </c>
      <c r="F28" s="2">
        <v>46157</v>
      </c>
      <c r="G28" s="2"/>
      <c r="H28" s="25" t="s">
        <v>31</v>
      </c>
      <c r="I28" s="14">
        <f>SUM(J28:N28)</f>
        <v>1.75</v>
      </c>
      <c r="J28" s="14">
        <v>1.75</v>
      </c>
      <c r="K28" s="14">
        <v>0</v>
      </c>
      <c r="M28" s="14"/>
    </row>
    <row r="29" spans="1:13" x14ac:dyDescent="0.25">
      <c r="A29">
        <v>21</v>
      </c>
      <c r="B29" t="s">
        <v>78</v>
      </c>
      <c r="C29" t="s">
        <v>22</v>
      </c>
      <c r="D29" s="25" t="s">
        <v>42</v>
      </c>
      <c r="E29" s="2">
        <v>46146</v>
      </c>
      <c r="F29" s="2">
        <v>46172</v>
      </c>
      <c r="G29" s="2"/>
      <c r="H29" s="25" t="s">
        <v>31</v>
      </c>
      <c r="I29" s="14">
        <f>SUM(J29:N29)</f>
        <v>10</v>
      </c>
      <c r="J29" s="14">
        <v>5</v>
      </c>
      <c r="K29" s="14">
        <v>5</v>
      </c>
      <c r="M29" s="14"/>
    </row>
    <row r="30" spans="1:13" x14ac:dyDescent="0.25">
      <c r="A30">
        <v>22</v>
      </c>
      <c r="B30" t="s">
        <v>78</v>
      </c>
      <c r="C30" t="s">
        <v>22</v>
      </c>
      <c r="D30" s="25" t="s">
        <v>49</v>
      </c>
      <c r="E30" s="2">
        <v>46146</v>
      </c>
      <c r="F30" s="2">
        <v>46172</v>
      </c>
      <c r="G30" s="2"/>
      <c r="H30" s="25" t="s">
        <v>31</v>
      </c>
      <c r="I30" s="14">
        <f>SUM(J30:N30)</f>
        <v>8</v>
      </c>
      <c r="J30" s="14">
        <v>3</v>
      </c>
      <c r="K30" s="14">
        <v>5</v>
      </c>
      <c r="M30" s="14"/>
    </row>
    <row r="31" spans="1:13" x14ac:dyDescent="0.25">
      <c r="A31">
        <v>23</v>
      </c>
      <c r="B31" t="s">
        <v>96</v>
      </c>
      <c r="C31" t="s">
        <v>22</v>
      </c>
      <c r="D31" s="25" t="s">
        <v>42</v>
      </c>
      <c r="E31" s="2">
        <v>46146</v>
      </c>
      <c r="F31" s="2">
        <v>46172</v>
      </c>
      <c r="G31" s="2"/>
      <c r="H31" s="25" t="s">
        <v>31</v>
      </c>
      <c r="I31" s="14">
        <f>SUM(J31:N31)</f>
        <v>7.25</v>
      </c>
      <c r="J31" s="14">
        <v>3.25</v>
      </c>
      <c r="K31" s="14">
        <v>4</v>
      </c>
      <c r="M31" s="14"/>
    </row>
    <row r="32" spans="1:13" x14ac:dyDescent="0.25">
      <c r="A32">
        <v>24</v>
      </c>
      <c r="B32" t="s">
        <v>77</v>
      </c>
      <c r="C32" t="s">
        <v>94</v>
      </c>
      <c r="D32" s="25" t="s">
        <v>52</v>
      </c>
      <c r="E32" s="2">
        <v>46146</v>
      </c>
      <c r="F32" s="2">
        <v>46172</v>
      </c>
      <c r="G32" s="2"/>
      <c r="H32" s="25" t="s">
        <v>31</v>
      </c>
      <c r="I32" s="14">
        <f>SUM(J32:N32)</f>
        <v>0.5</v>
      </c>
      <c r="J32" s="14">
        <v>0</v>
      </c>
      <c r="K32" s="14">
        <v>0.5</v>
      </c>
      <c r="M32" s="14"/>
    </row>
    <row r="33" spans="1:14" x14ac:dyDescent="0.25">
      <c r="A33">
        <v>25</v>
      </c>
      <c r="B33" t="s">
        <v>77</v>
      </c>
      <c r="C33" t="s">
        <v>100</v>
      </c>
      <c r="D33" s="25" t="s">
        <v>52</v>
      </c>
      <c r="E33" s="2">
        <v>46146</v>
      </c>
      <c r="F33" s="2">
        <v>46172</v>
      </c>
      <c r="G33" s="2"/>
      <c r="H33" s="25" t="s">
        <v>31</v>
      </c>
      <c r="I33" s="14">
        <f>SUM(J33:N33)</f>
        <v>1</v>
      </c>
      <c r="J33" s="14">
        <v>0</v>
      </c>
      <c r="K33" s="14">
        <v>1</v>
      </c>
      <c r="M33" s="14"/>
    </row>
    <row r="34" spans="1:14" x14ac:dyDescent="0.25">
      <c r="A34">
        <v>26</v>
      </c>
      <c r="B34" t="s">
        <v>77</v>
      </c>
      <c r="C34" t="s">
        <v>101</v>
      </c>
      <c r="D34" s="25" t="s">
        <v>52</v>
      </c>
      <c r="E34" s="2">
        <v>46146</v>
      </c>
      <c r="F34" s="2">
        <v>46172</v>
      </c>
      <c r="G34" s="2"/>
      <c r="H34" s="25" t="s">
        <v>31</v>
      </c>
      <c r="I34" s="14">
        <f>SUM(J34:N34)</f>
        <v>0.5</v>
      </c>
      <c r="J34" s="14">
        <v>0</v>
      </c>
      <c r="K34" s="14">
        <v>0.5</v>
      </c>
      <c r="M34" s="14"/>
    </row>
    <row r="35" spans="1:14" x14ac:dyDescent="0.25">
      <c r="A35">
        <v>27</v>
      </c>
      <c r="B35" t="s">
        <v>77</v>
      </c>
      <c r="C35" t="s">
        <v>95</v>
      </c>
      <c r="D35" s="25" t="s">
        <v>52</v>
      </c>
      <c r="E35" s="2">
        <v>46146</v>
      </c>
      <c r="F35" s="2">
        <v>46172</v>
      </c>
      <c r="G35" s="2"/>
      <c r="H35" s="25" t="s">
        <v>31</v>
      </c>
      <c r="I35" s="14">
        <f>SUM(J35:N35)</f>
        <v>0.75</v>
      </c>
      <c r="J35" s="14">
        <v>0</v>
      </c>
      <c r="K35" s="14">
        <v>0.75</v>
      </c>
      <c r="M35" s="14"/>
    </row>
    <row r="36" spans="1:14" x14ac:dyDescent="0.25">
      <c r="A36">
        <v>28</v>
      </c>
      <c r="B36" t="s">
        <v>77</v>
      </c>
      <c r="C36" t="s">
        <v>22</v>
      </c>
      <c r="D36" s="25" t="s">
        <v>42</v>
      </c>
      <c r="E36" s="2">
        <v>46146</v>
      </c>
      <c r="F36" s="2">
        <v>46172</v>
      </c>
      <c r="G36" s="2"/>
      <c r="H36" s="25" t="s">
        <v>31</v>
      </c>
      <c r="I36" s="14">
        <f>SUM(J36:N36)</f>
        <v>5</v>
      </c>
      <c r="J36" s="14">
        <v>2</v>
      </c>
      <c r="K36" s="14">
        <v>3</v>
      </c>
      <c r="M36" s="14"/>
    </row>
    <row r="37" spans="1:14" x14ac:dyDescent="0.25">
      <c r="A37">
        <v>29</v>
      </c>
      <c r="B37" t="s">
        <v>77</v>
      </c>
      <c r="C37" t="s">
        <v>103</v>
      </c>
      <c r="D37" s="25" t="s">
        <v>49</v>
      </c>
      <c r="E37" s="2">
        <v>46146</v>
      </c>
      <c r="F37" s="2">
        <v>46172</v>
      </c>
      <c r="G37" s="2"/>
      <c r="H37" s="25" t="s">
        <v>31</v>
      </c>
      <c r="I37" s="14">
        <f>SUM(J37:N37)</f>
        <v>1.25</v>
      </c>
      <c r="J37" s="14">
        <v>0</v>
      </c>
      <c r="K37" s="14">
        <v>1.25</v>
      </c>
      <c r="M37" s="14"/>
    </row>
    <row r="38" spans="1:14" x14ac:dyDescent="0.25">
      <c r="A38">
        <v>30</v>
      </c>
      <c r="B38" t="s">
        <v>104</v>
      </c>
      <c r="C38" t="s">
        <v>22</v>
      </c>
      <c r="D38" s="25" t="s">
        <v>73</v>
      </c>
      <c r="E38" s="2">
        <v>46146</v>
      </c>
      <c r="F38" s="2">
        <v>46172</v>
      </c>
      <c r="G38" s="2"/>
      <c r="H38" s="25" t="s">
        <v>31</v>
      </c>
      <c r="I38" s="14">
        <f>SUM(J38:N38)</f>
        <v>7</v>
      </c>
      <c r="J38" s="14">
        <v>4</v>
      </c>
      <c r="K38" s="14">
        <v>3</v>
      </c>
      <c r="M38" s="14"/>
    </row>
    <row r="39" spans="1:14" x14ac:dyDescent="0.25">
      <c r="A39">
        <v>31</v>
      </c>
      <c r="B39" t="s">
        <v>104</v>
      </c>
      <c r="C39" t="s">
        <v>22</v>
      </c>
      <c r="D39" s="25" t="s">
        <v>42</v>
      </c>
      <c r="E39" s="2">
        <v>46146</v>
      </c>
      <c r="F39" s="2">
        <v>46172</v>
      </c>
      <c r="G39" s="2"/>
      <c r="H39" s="25" t="s">
        <v>31</v>
      </c>
      <c r="I39" s="14">
        <f>SUM(J39:N39)</f>
        <v>8.5</v>
      </c>
      <c r="J39" s="14">
        <v>3</v>
      </c>
      <c r="K39" s="14">
        <v>5.5</v>
      </c>
      <c r="M39" s="14"/>
    </row>
    <row r="40" spans="1:14" x14ac:dyDescent="0.25">
      <c r="D40" s="25"/>
      <c r="H40" s="25"/>
    </row>
    <row r="41" spans="1:14" ht="15.75" thickBot="1" x14ac:dyDescent="0.3">
      <c r="A41" s="13" t="s">
        <v>20</v>
      </c>
      <c r="B41" s="9"/>
      <c r="C41" s="9"/>
      <c r="D41" s="9"/>
      <c r="E41" s="9"/>
      <c r="F41" s="9"/>
      <c r="G41" s="9"/>
      <c r="H41" s="9"/>
      <c r="I41" s="15">
        <f t="shared" ref="I41:N41" si="0">SUM(I8:I40)</f>
        <v>80</v>
      </c>
      <c r="J41" s="15">
        <f t="shared" si="0"/>
        <v>40</v>
      </c>
      <c r="K41" s="15">
        <f t="shared" si="0"/>
        <v>40</v>
      </c>
      <c r="L41" s="15">
        <f t="shared" si="0"/>
        <v>0</v>
      </c>
      <c r="M41" s="15">
        <f t="shared" si="0"/>
        <v>0</v>
      </c>
      <c r="N41" s="15">
        <f t="shared" si="0"/>
        <v>0</v>
      </c>
    </row>
    <row r="42" spans="1:14" ht="15.75" thickTop="1" x14ac:dyDescent="0.25">
      <c r="I42" s="14"/>
      <c r="J42" s="14"/>
      <c r="K42" s="14"/>
      <c r="L42" s="14"/>
      <c r="M42" s="14"/>
      <c r="N42" s="14"/>
    </row>
    <row r="43" spans="1:14" x14ac:dyDescent="0.25">
      <c r="A43" s="1" t="s">
        <v>21</v>
      </c>
      <c r="I43" s="14"/>
      <c r="J43" s="14"/>
      <c r="K43" s="14"/>
      <c r="L43" s="14"/>
      <c r="M43" s="14"/>
      <c r="N43" s="14"/>
    </row>
    <row r="44" spans="1:14" x14ac:dyDescent="0.25">
      <c r="B44" t="s">
        <v>22</v>
      </c>
      <c r="I44" s="14">
        <f t="shared" ref="I44:I48" si="1">SUM(J44:N44)</f>
        <v>0</v>
      </c>
      <c r="J44" s="14"/>
      <c r="K44" s="14"/>
      <c r="L44" s="14"/>
      <c r="M44" s="14"/>
      <c r="N44" s="14"/>
    </row>
    <row r="45" spans="1:14" x14ac:dyDescent="0.25">
      <c r="B45" t="s">
        <v>23</v>
      </c>
      <c r="I45" s="14">
        <f t="shared" si="1"/>
        <v>0</v>
      </c>
      <c r="J45" s="14"/>
      <c r="K45" s="14"/>
      <c r="L45" s="14"/>
      <c r="M45" s="14"/>
      <c r="N45" s="14"/>
    </row>
    <row r="46" spans="1:14" x14ac:dyDescent="0.25">
      <c r="B46" t="s">
        <v>24</v>
      </c>
      <c r="I46" s="14">
        <f t="shared" si="1"/>
        <v>0</v>
      </c>
      <c r="J46" s="14"/>
      <c r="K46" s="14"/>
      <c r="L46" s="14"/>
      <c r="M46" s="14"/>
      <c r="N46" s="14"/>
    </row>
    <row r="47" spans="1:14" x14ac:dyDescent="0.25">
      <c r="B47" t="s">
        <v>25</v>
      </c>
      <c r="I47" s="14">
        <f t="shared" si="1"/>
        <v>0</v>
      </c>
      <c r="J47" s="14"/>
      <c r="K47" s="14"/>
      <c r="L47" s="14"/>
      <c r="M47" s="14"/>
      <c r="N47" s="14"/>
    </row>
    <row r="48" spans="1:14" x14ac:dyDescent="0.25">
      <c r="B48" t="s">
        <v>26</v>
      </c>
      <c r="I48" s="14">
        <f t="shared" si="1"/>
        <v>0</v>
      </c>
      <c r="J48" s="14"/>
      <c r="K48" s="14"/>
      <c r="L48" s="14"/>
      <c r="M48" s="14"/>
      <c r="N48" s="14"/>
    </row>
    <row r="50" spans="1:14" ht="15.75" thickBot="1" x14ac:dyDescent="0.3">
      <c r="A50" s="13" t="s">
        <v>27</v>
      </c>
      <c r="B50" s="9"/>
      <c r="C50" s="9"/>
      <c r="D50" s="9"/>
      <c r="E50" s="9"/>
      <c r="F50" s="9"/>
      <c r="G50" s="9"/>
      <c r="H50" s="9"/>
      <c r="I50" s="15">
        <f>SUM(I44:I49)</f>
        <v>0</v>
      </c>
      <c r="J50" s="15">
        <f>SUM(J44:J49)</f>
        <v>0</v>
      </c>
      <c r="K50" s="15">
        <f t="shared" ref="K50:N50" si="2">SUM(K44:K49)</f>
        <v>0</v>
      </c>
      <c r="L50" s="15">
        <f t="shared" si="2"/>
        <v>0</v>
      </c>
      <c r="M50" s="15">
        <f t="shared" si="2"/>
        <v>0</v>
      </c>
      <c r="N50" s="15">
        <f t="shared" si="2"/>
        <v>0</v>
      </c>
    </row>
    <row r="51" spans="1:14" ht="15.75" thickTop="1" x14ac:dyDescent="0.25">
      <c r="I51" s="14"/>
      <c r="J51" s="14"/>
      <c r="K51" s="14"/>
      <c r="L51" s="14"/>
      <c r="M51" s="14"/>
      <c r="N51" s="14"/>
    </row>
    <row r="52" spans="1:14" ht="15.75" thickBot="1" x14ac:dyDescent="0.3">
      <c r="A52" s="13" t="s">
        <v>28</v>
      </c>
      <c r="B52" s="9"/>
      <c r="C52" s="9"/>
      <c r="D52" s="9"/>
      <c r="E52" s="9"/>
      <c r="F52" s="9"/>
      <c r="G52" s="9"/>
      <c r="H52" s="9"/>
      <c r="I52" s="15">
        <f>+I50+I41</f>
        <v>80</v>
      </c>
      <c r="J52" s="15">
        <f t="shared" ref="J52:N52" si="3">+J50+J41</f>
        <v>40</v>
      </c>
      <c r="K52" s="15">
        <f t="shared" si="3"/>
        <v>40</v>
      </c>
      <c r="L52" s="15">
        <f t="shared" si="3"/>
        <v>0</v>
      </c>
      <c r="M52" s="15">
        <f t="shared" si="3"/>
        <v>0</v>
      </c>
      <c r="N52" s="15">
        <f t="shared" si="3"/>
        <v>0</v>
      </c>
    </row>
    <row r="53" spans="1:14" ht="15.75" thickTop="1" x14ac:dyDescent="0.25"/>
    <row r="55" spans="1:14" ht="15.75" thickBot="1" x14ac:dyDescent="0.3">
      <c r="A55" s="13" t="s">
        <v>29</v>
      </c>
      <c r="B55" s="9"/>
      <c r="C55" s="9"/>
      <c r="D55" s="9"/>
      <c r="E55" s="9"/>
      <c r="F55" s="9"/>
      <c r="G55" s="9"/>
      <c r="H55" s="9"/>
      <c r="I55" s="15"/>
      <c r="J55" s="15">
        <v>40</v>
      </c>
      <c r="K55" s="15">
        <v>40</v>
      </c>
      <c r="L55" s="15">
        <v>40</v>
      </c>
      <c r="M55" s="15">
        <v>40</v>
      </c>
      <c r="N55" s="15"/>
    </row>
    <row r="56" spans="1:14" ht="16.5" thickTop="1" thickBot="1" x14ac:dyDescent="0.3">
      <c r="A56" s="13" t="s">
        <v>30</v>
      </c>
      <c r="B56" s="9"/>
      <c r="C56" s="9"/>
      <c r="D56" s="9"/>
      <c r="E56" s="9"/>
      <c r="F56" s="9"/>
      <c r="G56" s="9"/>
      <c r="H56" s="9"/>
      <c r="I56" s="15"/>
      <c r="J56" s="15">
        <f>+J55-J52</f>
        <v>0</v>
      </c>
      <c r="K56" s="15">
        <f t="shared" ref="K56:M56" si="4">+K55-K52</f>
        <v>0</v>
      </c>
      <c r="L56" s="15">
        <f t="shared" si="4"/>
        <v>40</v>
      </c>
      <c r="M56" s="15">
        <f t="shared" si="4"/>
        <v>40</v>
      </c>
      <c r="N56" s="15"/>
    </row>
    <row r="57" spans="1:14" ht="15.75" thickTop="1" x14ac:dyDescent="0.25"/>
  </sheetData>
  <protectedRanges>
    <protectedRange sqref="B40:C40 A8:XFD8 E40:XFD40 A44:XFD49 J9:K39 M9:XFD39 A9:A40 F29:H39 G9:H28" name="Range1"/>
    <protectedRange sqref="B9:C9 B10:B30" name="Range1_1"/>
    <protectedRange sqref="D9:D40" name="Range1_2"/>
    <protectedRange sqref="E9:F9 E10:E39 F10:F28" name="Range1_3"/>
    <protectedRange sqref="I9:I39" name="Range1_4"/>
  </protectedRanges>
  <autoFilter ref="A7:N36" xr:uid="{00000000-0001-0000-0000-000000000000}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H9:H40</xm:sqref>
        </x14:dataValidation>
        <x14:dataValidation type="list" allowBlank="1" showInputMessage="1" showErrorMessage="1" xr:uid="{B3593689-9E01-4298-B008-351C49C0C35E}">
          <x14:formula1>
            <xm:f>Status!$B$3:$B$11</xm:f>
          </x14:formula1>
          <xm:sqref>D9:D40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/>
  </sheetViews>
  <sheetFormatPr defaultRowHeight="15" x14ac:dyDescent="0.25"/>
  <cols>
    <col min="1" max="1" width="2.85546875" customWidth="1"/>
    <col min="2" max="2" width="42.28515625" bestFit="1" customWidth="1"/>
    <col min="3" max="3" width="105" bestFit="1" customWidth="1"/>
  </cols>
  <sheetData>
    <row r="2" spans="2:3" ht="16.5" x14ac:dyDescent="0.25">
      <c r="B2" s="23" t="s">
        <v>40</v>
      </c>
      <c r="C2" s="23" t="s">
        <v>45</v>
      </c>
    </row>
    <row r="3" spans="2:3" x14ac:dyDescent="0.25">
      <c r="B3" s="20" t="s">
        <v>41</v>
      </c>
      <c r="C3" s="21" t="s">
        <v>46</v>
      </c>
    </row>
    <row r="4" spans="2:3" x14ac:dyDescent="0.25">
      <c r="B4" s="20" t="s">
        <v>47</v>
      </c>
      <c r="C4" s="21" t="s">
        <v>48</v>
      </c>
    </row>
    <row r="5" spans="2:3" x14ac:dyDescent="0.25">
      <c r="B5" s="20" t="s">
        <v>49</v>
      </c>
      <c r="C5" s="21" t="s">
        <v>50</v>
      </c>
    </row>
    <row r="6" spans="2:3" x14ac:dyDescent="0.25">
      <c r="B6" s="20" t="s">
        <v>42</v>
      </c>
      <c r="C6" s="21" t="s">
        <v>51</v>
      </c>
    </row>
    <row r="7" spans="2:3" x14ac:dyDescent="0.25">
      <c r="B7" s="20" t="s">
        <v>52</v>
      </c>
      <c r="C7" s="21" t="s">
        <v>53</v>
      </c>
    </row>
    <row r="8" spans="2:3" x14ac:dyDescent="0.25">
      <c r="B8" s="20" t="s">
        <v>43</v>
      </c>
      <c r="C8" s="21" t="s">
        <v>54</v>
      </c>
    </row>
    <row r="9" spans="2:3" x14ac:dyDescent="0.25">
      <c r="B9" s="20" t="s">
        <v>44</v>
      </c>
      <c r="C9" s="21" t="s">
        <v>55</v>
      </c>
    </row>
    <row r="10" spans="2:3" x14ac:dyDescent="0.25">
      <c r="B10" s="20" t="s">
        <v>56</v>
      </c>
      <c r="C10" s="21" t="s">
        <v>57</v>
      </c>
    </row>
    <row r="11" spans="2:3" x14ac:dyDescent="0.25">
      <c r="B11" s="20" t="s">
        <v>73</v>
      </c>
      <c r="C11" s="21" t="s">
        <v>74</v>
      </c>
    </row>
    <row r="14" spans="2:3" ht="16.5" x14ac:dyDescent="0.25">
      <c r="B14" s="23" t="s">
        <v>58</v>
      </c>
      <c r="C14" s="23" t="s">
        <v>45</v>
      </c>
    </row>
    <row r="15" spans="2:3" x14ac:dyDescent="0.25">
      <c r="B15" s="22" t="s">
        <v>31</v>
      </c>
      <c r="C15" s="21" t="s">
        <v>59</v>
      </c>
    </row>
    <row r="16" spans="2:3" x14ac:dyDescent="0.25">
      <c r="B16" s="22" t="s">
        <v>60</v>
      </c>
      <c r="C16" s="21" t="s">
        <v>61</v>
      </c>
    </row>
    <row r="17" spans="2:3" x14ac:dyDescent="0.25">
      <c r="B17" s="22" t="s">
        <v>39</v>
      </c>
      <c r="C17" s="21" t="s">
        <v>62</v>
      </c>
    </row>
    <row r="18" spans="2:3" x14ac:dyDescent="0.25">
      <c r="B18" s="22" t="s">
        <v>19</v>
      </c>
      <c r="C18" s="21" t="s">
        <v>63</v>
      </c>
    </row>
    <row r="19" spans="2:3" x14ac:dyDescent="0.25">
      <c r="B19" s="22" t="s">
        <v>32</v>
      </c>
      <c r="C19" s="21" t="s">
        <v>64</v>
      </c>
    </row>
    <row r="20" spans="2:3" x14ac:dyDescent="0.25">
      <c r="B20" s="22" t="s">
        <v>33</v>
      </c>
      <c r="C20" s="21" t="s">
        <v>65</v>
      </c>
    </row>
    <row r="21" spans="2:3" x14ac:dyDescent="0.25">
      <c r="B21" s="22" t="s">
        <v>66</v>
      </c>
      <c r="C21" s="21" t="s">
        <v>67</v>
      </c>
    </row>
    <row r="22" spans="2:3" x14ac:dyDescent="0.25">
      <c r="B22" s="22" t="s">
        <v>38</v>
      </c>
      <c r="C22" s="21" t="s">
        <v>68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34</v>
      </c>
    </row>
    <row r="2" spans="1:1" s="17" customFormat="1" ht="15.75" x14ac:dyDescent="0.25">
      <c r="A2" s="18"/>
    </row>
    <row r="3" spans="1:1" s="17" customFormat="1" ht="15.75" x14ac:dyDescent="0.25">
      <c r="A3" s="16" t="s">
        <v>71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35</v>
      </c>
    </row>
    <row r="8" spans="1:1" ht="15.75" x14ac:dyDescent="0.25">
      <c r="A8" s="16" t="s">
        <v>72</v>
      </c>
    </row>
    <row r="9" spans="1:1" ht="15.75" x14ac:dyDescent="0.25">
      <c r="A9" s="16" t="s">
        <v>70</v>
      </c>
    </row>
    <row r="10" spans="1:1" ht="15.75" x14ac:dyDescent="0.25">
      <c r="A10" s="16" t="s">
        <v>36</v>
      </c>
    </row>
    <row r="11" spans="1:1" ht="15.75" x14ac:dyDescent="0.25">
      <c r="A11" s="16" t="s">
        <v>37</v>
      </c>
    </row>
    <row r="12" spans="1:1" ht="15.75" x14ac:dyDescent="0.25">
      <c r="A12" s="16" t="s">
        <v>69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Yug Modi</cp:lastModifiedBy>
  <cp:revision/>
  <dcterms:created xsi:type="dcterms:W3CDTF">2015-06-05T18:17:20Z</dcterms:created>
  <dcterms:modified xsi:type="dcterms:W3CDTF">2026-05-04T07:35:03Z</dcterms:modified>
  <cp:category/>
  <cp:contentStatus/>
</cp:coreProperties>
</file>