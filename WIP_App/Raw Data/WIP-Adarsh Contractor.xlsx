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Anant Suthar\"/>
    </mc:Choice>
  </mc:AlternateContent>
  <xr:revisionPtr revIDLastSave="0" documentId="13_ncr:1_{A194D73B-910B-4491-90B1-C6B7FC7AED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" i="1" l="1"/>
  <c r="I53" i="1"/>
  <c r="I52" i="1"/>
  <c r="I35" i="1" l="1"/>
  <c r="I12" i="1"/>
  <c r="I13" i="1"/>
  <c r="I14" i="1"/>
  <c r="J59" i="1"/>
  <c r="I60" i="1"/>
  <c r="I61" i="1"/>
  <c r="I62" i="1"/>
  <c r="I41" i="1"/>
  <c r="K56" i="1"/>
  <c r="I51" i="1"/>
  <c r="I50" i="1"/>
  <c r="I49" i="1"/>
  <c r="I48" i="1"/>
  <c r="I47" i="1"/>
  <c r="I46" i="1"/>
  <c r="I45" i="1"/>
  <c r="I44" i="1"/>
  <c r="I43" i="1"/>
  <c r="I42" i="1"/>
  <c r="I40" i="1"/>
  <c r="I39" i="1"/>
  <c r="I38" i="1"/>
  <c r="I37" i="1"/>
  <c r="I36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1" i="1"/>
  <c r="I10" i="1"/>
  <c r="I9" i="1"/>
  <c r="A60" i="1" l="1"/>
  <c r="A61" i="1" s="1"/>
  <c r="A62" i="1" s="1"/>
  <c r="A63" i="1" s="1"/>
  <c r="I5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J56" i="1" l="1"/>
  <c r="L56" i="1"/>
  <c r="M56" i="1"/>
  <c r="N56" i="1"/>
  <c r="J63" i="1" l="1"/>
  <c r="I63" i="1" s="1"/>
  <c r="I65" i="1" s="1"/>
  <c r="J65" i="1" l="1"/>
  <c r="I56" i="1"/>
  <c r="I67" i="1" s="1"/>
  <c r="N65" i="1"/>
  <c r="M65" i="1"/>
  <c r="L65" i="1"/>
  <c r="K65" i="1"/>
  <c r="K6" i="1"/>
  <c r="L6" i="1" s="1"/>
  <c r="M6" i="1" s="1"/>
  <c r="N6" i="1" s="1"/>
  <c r="M67" i="1" l="1"/>
  <c r="M71" i="1" s="1"/>
  <c r="J67" i="1"/>
  <c r="J71" i="1" s="1"/>
  <c r="K67" i="1"/>
  <c r="K71" i="1" s="1"/>
  <c r="N67" i="1"/>
  <c r="N71" i="1" s="1"/>
  <c r="L67" i="1"/>
  <c r="L71" i="1" s="1"/>
</calcChain>
</file>

<file path=xl/sharedStrings.xml><?xml version="1.0" encoding="utf-8"?>
<sst xmlns="http://schemas.openxmlformats.org/spreadsheetml/2006/main" count="273" uniqueCount="111">
  <si>
    <t>Work in Progress Report</t>
  </si>
  <si>
    <t xml:space="preserve">Name: </t>
  </si>
  <si>
    <t>Adarsh Contractor</t>
  </si>
  <si>
    <t>Title:</t>
  </si>
  <si>
    <t>Senior</t>
  </si>
  <si>
    <t>Manager Name:</t>
  </si>
  <si>
    <t>Week starting on --&gt;&gt;</t>
  </si>
  <si>
    <t>Sr #</t>
  </si>
  <si>
    <t>Client Name</t>
  </si>
  <si>
    <t>Project (sub-client)</t>
  </si>
  <si>
    <t>Work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</si>
  <si>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</si>
  <si>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</si>
  <si>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</si>
  <si>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</si>
  <si>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</si>
  <si>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</si>
  <si>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</si>
  <si>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</si>
  <si>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</si>
  <si>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</si>
  <si>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Mollica and Yeaman LLC</t>
  </si>
  <si>
    <t>Not Started</t>
  </si>
  <si>
    <t>Bio One Fairfax-Inzeo</t>
  </si>
  <si>
    <t>Bio One South Shore-Stackpole</t>
  </si>
  <si>
    <t>Lighthouse Ventures (Noel Corea)</t>
  </si>
  <si>
    <t>DVW of Hollywood-Spiedel</t>
  </si>
  <si>
    <t>Dryer Vent Wizard of Norwalk</t>
  </si>
  <si>
    <t>RH Highlands Ranch, LLC</t>
  </si>
  <si>
    <t>M2 Home Decor Allen LLC</t>
  </si>
  <si>
    <t>M2 Home Decor Mckinney LLC</t>
  </si>
  <si>
    <t>Brokwit Holding LLC</t>
  </si>
  <si>
    <t>Budget Blinds of Merrit Island</t>
  </si>
  <si>
    <t>Blue Talon Management LLC</t>
  </si>
  <si>
    <t>Budget Blinds of Chevy Chase/College Park</t>
  </si>
  <si>
    <t>Bin Masters-Pierce - Noble Earth</t>
  </si>
  <si>
    <t>Revita Luxe - ID Ventures in ADP</t>
  </si>
  <si>
    <t>Advanced Bionetics</t>
  </si>
  <si>
    <t>Mr. Electric-Eltringham - New NBLY QBO Signup_MRE20491</t>
  </si>
  <si>
    <t xml:space="preserve">Candy Wonderland-Delray </t>
  </si>
  <si>
    <t>Candy Wonderland-Port St Lucie LLC</t>
  </si>
  <si>
    <t>Candy Wonderland-Palm Bay</t>
  </si>
  <si>
    <t>Candy Wonderland-Naples</t>
  </si>
  <si>
    <t>Laurie Bosch Inc</t>
  </si>
  <si>
    <t>The Junk Luggers of Crenshaw - Tyler Sustainable in ADP</t>
  </si>
  <si>
    <t>Project Management</t>
  </si>
  <si>
    <t>Total of Billable hours</t>
  </si>
  <si>
    <t>Non Billable hours</t>
  </si>
  <si>
    <t>Admin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</si>
  <si>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</si>
  <si>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</si>
  <si>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</si>
  <si>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</si>
  <si>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</si>
  <si>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</si>
  <si>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</si>
  <si>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In Preparation</t>
  </si>
  <si>
    <t>In Review</t>
  </si>
  <si>
    <t>Points to be considered while updating the tracker</t>
  </si>
  <si>
    <t>Weeks should start from column "J" - Don't change sequence.</t>
  </si>
  <si>
    <t>Always use Sr. no. when inputting data (If there is no data, don't write sr. no).</t>
  </si>
  <si>
    <t>Select work done from the drop-down list only - Don't write manually</t>
  </si>
  <si>
    <t>Don't leave any row blank in between (if require you can add a row in between)</t>
  </si>
  <si>
    <t>Don’t add or delete any column</t>
  </si>
  <si>
    <t>Update Timesheet &amp; Discussion with Team</t>
  </si>
  <si>
    <t>Work Item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</si>
  <si>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</si>
  <si>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</si>
  <si>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</si>
  <si>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</si>
  <si>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</si>
  <si>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</si>
  <si>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</si>
  <si>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</si>
  <si>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</si>
  <si>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</si>
  <si>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</si>
  <si>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</si>
  <si>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</si>
  <si>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</si>
  <si>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</si>
  <si>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</si>
  <si>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</si>
  <si>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</si>
  <si>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</si>
  <si>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</si>
  <si>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</si>
  <si>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</si>
  <si>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</si>
  <si>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</si>
  <si>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</si>
  <si>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</si>
  <si>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</si>
  <si>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</si>
  <si>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</si>
  <si>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</si>
  <si>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</si>
  <si>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Client Meetings and Communication</t>
  </si>
  <si>
    <t>Client Call, Internal Discussions, Client Emails, Document Upload, Workflow updates Etc.</t>
  </si>
  <si>
    <t>Anantkumar Suthar</t>
  </si>
  <si>
    <t>Week 5</t>
  </si>
  <si>
    <t>Planend Leave</t>
  </si>
  <si>
    <t>Company Event</t>
  </si>
  <si>
    <t>Bricks &amp; Minifigs North Raleigh</t>
  </si>
  <si>
    <t>Superior Removal Services</t>
  </si>
  <si>
    <t>Shelf Genie-Searfross</t>
  </si>
  <si>
    <t>RZSA Ventures LLC</t>
  </si>
  <si>
    <t>Eberhard HVAC - New NBLY QBO Signup_ASV20548 plus</t>
  </si>
  <si>
    <t>VN Florida Homes LLC</t>
  </si>
  <si>
    <t>Review</t>
  </si>
  <si>
    <t>Clean UP CatchUp Task / New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</si>
</sst>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</font>
    <font>
      <b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4" fontId="0" fillId="3" borderId="0" xfId="0" applyNumberFormat="1" applyFill="1"/>
    <xf numFmtId="0" fontId="0" fillId="4" borderId="0" xfId="0" applyFill="1"/>
    <xf numFmtId="0" fontId="2" fillId="0" borderId="0" xfId="0" applyFont="1"/>
    <xf numFmtId="43" fontId="1" fillId="0" borderId="0" xfId="1" applyFont="1"/>
    <xf numFmtId="0" fontId="0" fillId="5" borderId="0" xfId="0" applyFill="1"/>
    <xf numFmtId="0" fontId="1" fillId="4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0" borderId="0" xfId="0" applyFont="1"/>
    <xf numFmtId="0" fontId="7" fillId="7" borderId="3" xfId="0" applyFont="1" applyFill="1" applyBorder="1" applyAlignment="1">
      <alignment horizontal="left"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0" borderId="3" xfId="0" applyFont="1" applyBorder="1"/>
    <xf numFmtId="43" fontId="0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52" zoomScale="85" zoomScaleNormal="85" workbookViewId="0">
      <pane xSplit="6" topLeftCell="G1" activePane="topRight" state="frozen"/>
      <selection activeCell="A7" sqref="A7"/>
      <selection pane="topRight" activeCell="H73" sqref="H73"/>
    </sheetView>
  </sheetViews>
  <sheetFormatPr defaultRowHeight="15" x14ac:dyDescent="0.25"/>
  <cols>
    <col min="1" max="1" width="28.85546875" bestFit="1" customWidth="1"/>
    <col min="2" max="2" width="22.5703125" bestFit="1" customWidth="1"/>
    <col min="3" max="3" width="38" customWidth="1"/>
    <col min="4" max="4" width="23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4" width="10.85546875" bestFit="1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2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3</v>
      </c>
      <c r="B3" s="10" t="s">
        <v>4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5</v>
      </c>
      <c r="B4" s="10" t="s">
        <v>99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7" t="s">
        <v>6</v>
      </c>
      <c r="J6" s="8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ht="30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100</v>
      </c>
    </row>
    <row r="8" spans="1:14" x14ac:dyDescent="0.25">
      <c r="A8" s="6" t="s">
        <v>20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</row>
    <row r="9" spans="1:14" x14ac:dyDescent="0.25">
      <c r="A9">
        <v>1</v>
      </c>
      <c r="B9" t="s">
        <v>21</v>
      </c>
      <c r="C9" t="s">
        <v>23</v>
      </c>
      <c r="D9" t="s">
        <v>73</v>
      </c>
      <c r="E9" s="2">
        <v>46146</v>
      </c>
      <c r="F9" s="2"/>
      <c r="G9" s="2"/>
      <c r="H9" t="s">
        <v>22</v>
      </c>
      <c r="I9" s="14">
        <f t="shared" ref="I9:I51" si="0">SUM(J9:Y9)</f>
        <v>0.5</v>
      </c>
      <c r="J9" s="14">
        <v>0.25</v>
      </c>
      <c r="K9" s="14">
        <v>0.25</v>
      </c>
      <c r="L9" s="14">
        <v>0</v>
      </c>
      <c r="M9" s="14">
        <v>0</v>
      </c>
      <c r="N9" s="14">
        <v>0</v>
      </c>
    </row>
    <row r="10" spans="1:14" x14ac:dyDescent="0.25">
      <c r="A10">
        <f t="shared" ref="A10:A51" si="1">A9+1</f>
        <v>2</v>
      </c>
      <c r="B10" t="s">
        <v>21</v>
      </c>
      <c r="C10" t="s">
        <v>24</v>
      </c>
      <c r="D10" t="s">
        <v>73</v>
      </c>
      <c r="E10" s="2">
        <v>46146</v>
      </c>
      <c r="F10" s="2"/>
      <c r="G10" s="2"/>
      <c r="H10" t="s">
        <v>22</v>
      </c>
      <c r="I10" s="14">
        <f t="shared" si="0"/>
        <v>1.5</v>
      </c>
      <c r="J10" s="14">
        <v>0.75</v>
      </c>
      <c r="K10" s="14">
        <v>0.75</v>
      </c>
      <c r="L10" s="14">
        <v>0</v>
      </c>
      <c r="M10" s="14">
        <v>0</v>
      </c>
      <c r="N10" s="14">
        <v>0</v>
      </c>
    </row>
    <row r="11" spans="1:14" x14ac:dyDescent="0.25">
      <c r="A11">
        <f t="shared" si="1"/>
        <v>3</v>
      </c>
      <c r="B11" t="s">
        <v>21</v>
      </c>
      <c r="C11" t="s">
        <v>25</v>
      </c>
      <c r="D11" t="s">
        <v>73</v>
      </c>
      <c r="E11" s="2">
        <v>46146</v>
      </c>
      <c r="F11" s="2"/>
      <c r="G11" s="2"/>
      <c r="H11" t="s">
        <v>22</v>
      </c>
      <c r="I11" s="14">
        <f t="shared" si="0"/>
        <v>0.5</v>
      </c>
      <c r="J11" s="14">
        <v>0.25</v>
      </c>
      <c r="K11" s="14">
        <v>0.25</v>
      </c>
      <c r="L11" s="14">
        <v>0</v>
      </c>
      <c r="M11" s="14">
        <v>0</v>
      </c>
      <c r="N11" s="14">
        <v>0</v>
      </c>
    </row>
    <row r="12" spans="1:14" x14ac:dyDescent="0.25">
      <c r="A12">
        <f t="shared" si="1"/>
        <v>4</v>
      </c>
      <c r="B12" t="s">
        <v>21</v>
      </c>
      <c r="C12" t="s">
        <v>103</v>
      </c>
      <c r="D12" t="s">
        <v>73</v>
      </c>
      <c r="E12" s="2">
        <v>46146</v>
      </c>
      <c r="F12" s="2"/>
      <c r="G12" s="2"/>
      <c r="H12" t="s">
        <v>22</v>
      </c>
      <c r="I12" s="14">
        <f t="shared" si="0"/>
        <v>0.5</v>
      </c>
      <c r="J12" s="14">
        <v>0.25</v>
      </c>
      <c r="K12" s="14">
        <v>0.25</v>
      </c>
      <c r="L12" s="14">
        <v>0</v>
      </c>
      <c r="M12" s="14">
        <v>0</v>
      </c>
      <c r="N12" s="14">
        <v>0</v>
      </c>
    </row>
    <row r="13" spans="1:14" x14ac:dyDescent="0.25">
      <c r="A13">
        <f t="shared" si="1"/>
        <v>5</v>
      </c>
      <c r="B13" t="s">
        <v>21</v>
      </c>
      <c r="C13" t="s">
        <v>104</v>
      </c>
      <c r="D13" t="s">
        <v>73</v>
      </c>
      <c r="E13" s="2">
        <v>46146</v>
      </c>
      <c r="F13" s="2"/>
      <c r="G13" s="2"/>
      <c r="H13" t="s">
        <v>22</v>
      </c>
      <c r="I13" s="14">
        <f t="shared" si="0"/>
        <v>3</v>
      </c>
      <c r="J13" s="14">
        <v>1.5</v>
      </c>
      <c r="K13" s="14">
        <v>1.5</v>
      </c>
      <c r="L13" s="14">
        <v>0</v>
      </c>
      <c r="M13" s="14">
        <v>0</v>
      </c>
      <c r="N13" s="14">
        <v>0</v>
      </c>
    </row>
    <row r="14" spans="1:14" x14ac:dyDescent="0.25">
      <c r="A14">
        <f t="shared" si="1"/>
        <v>6</v>
      </c>
      <c r="B14" t="s">
        <v>21</v>
      </c>
      <c r="C14" t="s">
        <v>105</v>
      </c>
      <c r="D14" t="s">
        <v>73</v>
      </c>
      <c r="E14" s="2">
        <v>46146</v>
      </c>
      <c r="F14" s="2"/>
      <c r="G14" s="2"/>
      <c r="H14" t="s">
        <v>22</v>
      </c>
      <c r="I14" s="14">
        <f t="shared" si="0"/>
        <v>0.5</v>
      </c>
      <c r="J14" s="14">
        <v>0.25</v>
      </c>
      <c r="K14" s="14">
        <v>0.25</v>
      </c>
      <c r="L14" s="14">
        <v>0</v>
      </c>
      <c r="M14" s="14">
        <v>0</v>
      </c>
      <c r="N14" s="14">
        <v>0</v>
      </c>
    </row>
    <row r="15" spans="1:14" x14ac:dyDescent="0.25">
      <c r="A15">
        <f t="shared" si="1"/>
        <v>7</v>
      </c>
      <c r="B15" t="s">
        <v>21</v>
      </c>
      <c r="C15" t="s">
        <v>26</v>
      </c>
      <c r="D15" t="s">
        <v>73</v>
      </c>
      <c r="E15" s="2">
        <v>46146</v>
      </c>
      <c r="F15" s="2"/>
      <c r="G15" s="2"/>
      <c r="H15" t="s">
        <v>22</v>
      </c>
      <c r="I15" s="14">
        <f t="shared" si="0"/>
        <v>2</v>
      </c>
      <c r="J15" s="14">
        <v>1</v>
      </c>
      <c r="K15" s="14">
        <v>1</v>
      </c>
      <c r="L15" s="14">
        <v>0</v>
      </c>
      <c r="M15" s="14">
        <v>0</v>
      </c>
      <c r="N15" s="14">
        <v>0</v>
      </c>
    </row>
    <row r="16" spans="1:14" x14ac:dyDescent="0.25">
      <c r="A16">
        <f t="shared" si="1"/>
        <v>8</v>
      </c>
      <c r="B16" t="s">
        <v>21</v>
      </c>
      <c r="C16" t="s">
        <v>27</v>
      </c>
      <c r="D16" t="s">
        <v>73</v>
      </c>
      <c r="E16" s="2">
        <v>46146</v>
      </c>
      <c r="F16" s="2"/>
      <c r="G16" s="2"/>
      <c r="H16" t="s">
        <v>22</v>
      </c>
      <c r="I16" s="14">
        <f t="shared" si="0"/>
        <v>2</v>
      </c>
      <c r="J16" s="14">
        <v>1</v>
      </c>
      <c r="K16" s="14">
        <v>1</v>
      </c>
      <c r="L16" s="14">
        <v>0</v>
      </c>
      <c r="M16" s="14">
        <v>0</v>
      </c>
      <c r="N16" s="14">
        <v>0</v>
      </c>
    </row>
    <row r="17" spans="1:14" x14ac:dyDescent="0.25">
      <c r="A17">
        <f t="shared" si="1"/>
        <v>9</v>
      </c>
      <c r="B17" t="s">
        <v>21</v>
      </c>
      <c r="C17" t="s">
        <v>28</v>
      </c>
      <c r="D17" t="s">
        <v>73</v>
      </c>
      <c r="E17" s="2">
        <v>46146</v>
      </c>
      <c r="F17" s="2"/>
      <c r="G17" s="2"/>
      <c r="H17" t="s">
        <v>22</v>
      </c>
      <c r="I17" s="14">
        <f t="shared" si="0"/>
        <v>1</v>
      </c>
      <c r="J17" s="14">
        <v>0.5</v>
      </c>
      <c r="K17" s="14">
        <v>0.5</v>
      </c>
      <c r="L17" s="14">
        <v>0</v>
      </c>
      <c r="M17" s="14">
        <v>0</v>
      </c>
      <c r="N17" s="14">
        <v>0</v>
      </c>
    </row>
    <row r="18" spans="1:14" x14ac:dyDescent="0.25">
      <c r="A18">
        <f t="shared" si="1"/>
        <v>10</v>
      </c>
      <c r="B18" t="s">
        <v>21</v>
      </c>
      <c r="C18" t="s">
        <v>29</v>
      </c>
      <c r="D18" t="s">
        <v>73</v>
      </c>
      <c r="E18" s="2">
        <v>46146</v>
      </c>
      <c r="F18" s="2"/>
      <c r="G18" s="2"/>
      <c r="H18" t="s">
        <v>22</v>
      </c>
      <c r="I18" s="14">
        <f t="shared" si="0"/>
        <v>0.5</v>
      </c>
      <c r="J18" s="14">
        <v>0.25</v>
      </c>
      <c r="K18" s="14">
        <v>0.25</v>
      </c>
      <c r="L18" s="14">
        <v>0</v>
      </c>
      <c r="M18" s="14">
        <v>0</v>
      </c>
      <c r="N18" s="14">
        <v>0</v>
      </c>
    </row>
    <row r="19" spans="1:14" x14ac:dyDescent="0.25">
      <c r="A19">
        <f t="shared" si="1"/>
        <v>11</v>
      </c>
      <c r="B19" t="s">
        <v>21</v>
      </c>
      <c r="C19" t="s">
        <v>30</v>
      </c>
      <c r="D19" t="s">
        <v>73</v>
      </c>
      <c r="E19" s="2">
        <v>46146</v>
      </c>
      <c r="F19" s="2"/>
      <c r="G19" s="2"/>
      <c r="H19" t="s">
        <v>22</v>
      </c>
      <c r="I19" s="14">
        <f t="shared" si="0"/>
        <v>0.5</v>
      </c>
      <c r="J19" s="14">
        <v>0.25</v>
      </c>
      <c r="K19" s="14">
        <v>0.25</v>
      </c>
      <c r="L19" s="14">
        <v>0</v>
      </c>
      <c r="M19" s="14">
        <v>0</v>
      </c>
      <c r="N19" s="14">
        <v>0</v>
      </c>
    </row>
    <row r="20" spans="1:14" x14ac:dyDescent="0.25">
      <c r="A20">
        <f t="shared" si="1"/>
        <v>12</v>
      </c>
      <c r="B20" t="s">
        <v>21</v>
      </c>
      <c r="C20" t="s">
        <v>31</v>
      </c>
      <c r="D20" t="s">
        <v>73</v>
      </c>
      <c r="E20" s="2">
        <v>46146</v>
      </c>
      <c r="F20" s="2"/>
      <c r="G20" s="2"/>
      <c r="H20" t="s">
        <v>22</v>
      </c>
      <c r="I20" s="14">
        <f t="shared" si="0"/>
        <v>3</v>
      </c>
      <c r="J20" s="14">
        <v>1.5</v>
      </c>
      <c r="K20" s="14">
        <v>1.5</v>
      </c>
      <c r="L20" s="14">
        <v>0</v>
      </c>
      <c r="M20" s="14">
        <v>0</v>
      </c>
      <c r="N20" s="14">
        <v>0</v>
      </c>
    </row>
    <row r="21" spans="1:14" x14ac:dyDescent="0.25">
      <c r="A21">
        <f t="shared" si="1"/>
        <v>13</v>
      </c>
      <c r="B21" t="s">
        <v>21</v>
      </c>
      <c r="C21" t="s">
        <v>32</v>
      </c>
      <c r="D21" t="s">
        <v>73</v>
      </c>
      <c r="E21" s="2">
        <v>46146</v>
      </c>
      <c r="F21" s="2"/>
      <c r="G21" s="2"/>
      <c r="H21" t="s">
        <v>22</v>
      </c>
      <c r="I21" s="14">
        <f t="shared" si="0"/>
        <v>2</v>
      </c>
      <c r="J21" s="14">
        <v>1</v>
      </c>
      <c r="K21" s="14">
        <v>1</v>
      </c>
      <c r="L21" s="14">
        <v>0</v>
      </c>
      <c r="M21" s="14">
        <v>0</v>
      </c>
      <c r="N21" s="14">
        <v>0</v>
      </c>
    </row>
    <row r="22" spans="1:14" x14ac:dyDescent="0.25">
      <c r="A22">
        <f t="shared" si="1"/>
        <v>14</v>
      </c>
      <c r="B22" t="s">
        <v>21</v>
      </c>
      <c r="C22" t="s">
        <v>33</v>
      </c>
      <c r="D22" t="s">
        <v>73</v>
      </c>
      <c r="E22" s="2">
        <v>46146</v>
      </c>
      <c r="F22" s="2"/>
      <c r="G22" s="2"/>
      <c r="H22" t="s">
        <v>22</v>
      </c>
      <c r="I22" s="14">
        <f t="shared" si="0"/>
        <v>2</v>
      </c>
      <c r="J22" s="14">
        <v>1</v>
      </c>
      <c r="K22" s="14">
        <v>1</v>
      </c>
      <c r="L22" s="14">
        <v>0</v>
      </c>
      <c r="M22" s="14">
        <v>0</v>
      </c>
      <c r="N22" s="14">
        <v>0</v>
      </c>
    </row>
    <row r="23" spans="1:14" x14ac:dyDescent="0.25">
      <c r="A23">
        <f t="shared" si="1"/>
        <v>15</v>
      </c>
      <c r="B23" t="s">
        <v>21</v>
      </c>
      <c r="C23" t="s">
        <v>34</v>
      </c>
      <c r="D23" t="s">
        <v>73</v>
      </c>
      <c r="E23" s="2">
        <v>46146</v>
      </c>
      <c r="F23" s="2"/>
      <c r="G23" s="2"/>
      <c r="H23" t="s">
        <v>22</v>
      </c>
      <c r="I23" s="14">
        <f t="shared" si="0"/>
        <v>2</v>
      </c>
      <c r="J23" s="14">
        <v>1</v>
      </c>
      <c r="K23" s="14">
        <v>1</v>
      </c>
      <c r="L23" s="14">
        <v>0</v>
      </c>
      <c r="M23" s="14">
        <v>0</v>
      </c>
      <c r="N23" s="14">
        <v>0</v>
      </c>
    </row>
    <row r="24" spans="1:14" x14ac:dyDescent="0.25">
      <c r="A24">
        <f t="shared" si="1"/>
        <v>16</v>
      </c>
      <c r="B24" t="s">
        <v>21</v>
      </c>
      <c r="C24" t="s">
        <v>35</v>
      </c>
      <c r="D24" t="s">
        <v>73</v>
      </c>
      <c r="E24" s="2">
        <v>46146</v>
      </c>
      <c r="F24" s="2"/>
      <c r="G24" s="2"/>
      <c r="H24" t="s">
        <v>22</v>
      </c>
      <c r="I24" s="14">
        <f t="shared" si="0"/>
        <v>0.5</v>
      </c>
      <c r="J24" s="14">
        <v>0.25</v>
      </c>
      <c r="K24" s="14">
        <v>0.25</v>
      </c>
      <c r="L24" s="14">
        <v>0</v>
      </c>
      <c r="M24" s="14">
        <v>0</v>
      </c>
      <c r="N24" s="14">
        <v>0</v>
      </c>
    </row>
    <row r="25" spans="1:14" x14ac:dyDescent="0.25">
      <c r="A25">
        <f t="shared" si="1"/>
        <v>17</v>
      </c>
      <c r="B25" t="s">
        <v>21</v>
      </c>
      <c r="C25" t="s">
        <v>36</v>
      </c>
      <c r="D25" t="s">
        <v>73</v>
      </c>
      <c r="E25" s="2">
        <v>46146</v>
      </c>
      <c r="F25" s="2"/>
      <c r="G25" s="2"/>
      <c r="H25" t="s">
        <v>22</v>
      </c>
      <c r="I25" s="14">
        <f t="shared" si="0"/>
        <v>5</v>
      </c>
      <c r="J25" s="14">
        <v>2.5</v>
      </c>
      <c r="K25" s="26">
        <v>2.5</v>
      </c>
      <c r="L25" s="14">
        <v>0</v>
      </c>
      <c r="M25" s="14">
        <v>0</v>
      </c>
      <c r="N25" s="14">
        <v>0</v>
      </c>
    </row>
    <row r="26" spans="1:14" x14ac:dyDescent="0.25">
      <c r="A26">
        <f t="shared" si="1"/>
        <v>18</v>
      </c>
      <c r="B26" t="s">
        <v>21</v>
      </c>
      <c r="C26" t="s">
        <v>37</v>
      </c>
      <c r="D26" t="s">
        <v>73</v>
      </c>
      <c r="E26" s="2">
        <v>46146</v>
      </c>
      <c r="F26" s="2"/>
      <c r="G26" s="2"/>
      <c r="H26" t="s">
        <v>22</v>
      </c>
      <c r="I26" s="14">
        <f t="shared" si="0"/>
        <v>2.5</v>
      </c>
      <c r="J26" s="14">
        <v>1.25</v>
      </c>
      <c r="K26" s="26">
        <v>1.25</v>
      </c>
      <c r="L26" s="14">
        <v>0</v>
      </c>
      <c r="M26" s="14">
        <v>0</v>
      </c>
      <c r="N26" s="14">
        <v>0</v>
      </c>
    </row>
    <row r="27" spans="1:14" x14ac:dyDescent="0.25">
      <c r="A27">
        <f t="shared" si="1"/>
        <v>19</v>
      </c>
      <c r="B27" t="s">
        <v>21</v>
      </c>
      <c r="C27" t="s">
        <v>38</v>
      </c>
      <c r="D27" t="s">
        <v>73</v>
      </c>
      <c r="E27" s="2">
        <v>46146</v>
      </c>
      <c r="F27" s="2"/>
      <c r="G27" s="2"/>
      <c r="H27" t="s">
        <v>22</v>
      </c>
      <c r="I27" s="14">
        <f t="shared" si="0"/>
        <v>0.5</v>
      </c>
      <c r="J27" s="14">
        <v>0.25</v>
      </c>
      <c r="K27" s="26">
        <v>0.25</v>
      </c>
      <c r="L27" s="14">
        <v>0</v>
      </c>
      <c r="M27" s="14">
        <v>0</v>
      </c>
      <c r="N27" s="14">
        <v>0</v>
      </c>
    </row>
    <row r="28" spans="1:14" x14ac:dyDescent="0.25">
      <c r="A28">
        <f t="shared" si="1"/>
        <v>20</v>
      </c>
      <c r="B28" t="s">
        <v>21</v>
      </c>
      <c r="C28" t="s">
        <v>106</v>
      </c>
      <c r="D28" t="s">
        <v>73</v>
      </c>
      <c r="E28" s="2">
        <v>46146</v>
      </c>
      <c r="F28" s="2"/>
      <c r="G28" s="2"/>
      <c r="H28" t="s">
        <v>22</v>
      </c>
      <c r="I28" s="14">
        <f t="shared" si="0"/>
        <v>0.5</v>
      </c>
      <c r="J28" s="14">
        <v>0.25</v>
      </c>
      <c r="K28" s="26">
        <v>0.25</v>
      </c>
      <c r="L28" s="14">
        <v>0</v>
      </c>
      <c r="M28" s="14">
        <v>0</v>
      </c>
      <c r="N28" s="14">
        <v>0</v>
      </c>
    </row>
    <row r="29" spans="1:14" x14ac:dyDescent="0.25">
      <c r="A29">
        <f t="shared" si="1"/>
        <v>21</v>
      </c>
      <c r="B29" t="s">
        <v>21</v>
      </c>
      <c r="C29" t="s">
        <v>39</v>
      </c>
      <c r="D29" t="s">
        <v>73</v>
      </c>
      <c r="E29" s="2">
        <v>46146</v>
      </c>
      <c r="F29" s="2"/>
      <c r="G29" s="2"/>
      <c r="H29" t="s">
        <v>22</v>
      </c>
      <c r="I29" s="14">
        <f t="shared" si="0"/>
        <v>1.5</v>
      </c>
      <c r="J29" s="14">
        <v>0.75</v>
      </c>
      <c r="K29" s="26">
        <v>0.75</v>
      </c>
      <c r="L29" s="14">
        <v>0</v>
      </c>
      <c r="M29" s="14">
        <v>0</v>
      </c>
      <c r="N29" s="14">
        <v>0</v>
      </c>
    </row>
    <row r="30" spans="1:14" x14ac:dyDescent="0.25">
      <c r="A30">
        <f t="shared" si="1"/>
        <v>22</v>
      </c>
      <c r="B30" t="s">
        <v>21</v>
      </c>
      <c r="C30" t="s">
        <v>40</v>
      </c>
      <c r="D30" t="s">
        <v>73</v>
      </c>
      <c r="E30" s="2">
        <v>46146</v>
      </c>
      <c r="F30" s="2"/>
      <c r="G30" s="2"/>
      <c r="H30" t="s">
        <v>22</v>
      </c>
      <c r="I30" s="14">
        <f t="shared" si="0"/>
        <v>1.5</v>
      </c>
      <c r="J30" s="14">
        <v>0.75</v>
      </c>
      <c r="K30" s="26">
        <v>0.75</v>
      </c>
      <c r="L30" s="14">
        <v>0</v>
      </c>
      <c r="M30" s="14">
        <v>0</v>
      </c>
      <c r="N30" s="14">
        <v>0</v>
      </c>
    </row>
    <row r="31" spans="1:14" x14ac:dyDescent="0.25">
      <c r="A31">
        <f t="shared" si="1"/>
        <v>23</v>
      </c>
      <c r="B31" t="s">
        <v>21</v>
      </c>
      <c r="C31" t="s">
        <v>41</v>
      </c>
      <c r="D31" t="s">
        <v>73</v>
      </c>
      <c r="E31" s="2">
        <v>46146</v>
      </c>
      <c r="F31" s="2"/>
      <c r="G31" s="2"/>
      <c r="H31" t="s">
        <v>22</v>
      </c>
      <c r="I31" s="14">
        <f t="shared" si="0"/>
        <v>1.5</v>
      </c>
      <c r="J31" s="14">
        <v>0.75</v>
      </c>
      <c r="K31" s="26">
        <v>0.75</v>
      </c>
      <c r="L31" s="14">
        <v>0</v>
      </c>
      <c r="M31" s="14">
        <v>0</v>
      </c>
      <c r="N31" s="14">
        <v>0</v>
      </c>
    </row>
    <row r="32" spans="1:14" x14ac:dyDescent="0.25">
      <c r="A32">
        <f t="shared" si="1"/>
        <v>24</v>
      </c>
      <c r="B32" t="s">
        <v>21</v>
      </c>
      <c r="C32" t="s">
        <v>42</v>
      </c>
      <c r="D32" t="s">
        <v>73</v>
      </c>
      <c r="E32" s="2">
        <v>46146</v>
      </c>
      <c r="F32" s="2"/>
      <c r="G32" s="2"/>
      <c r="H32" t="s">
        <v>22</v>
      </c>
      <c r="I32" s="14">
        <f t="shared" si="0"/>
        <v>0.5</v>
      </c>
      <c r="J32" s="14">
        <v>0.25</v>
      </c>
      <c r="K32" s="26">
        <v>0.25</v>
      </c>
      <c r="L32" s="14">
        <v>0</v>
      </c>
      <c r="M32" s="14">
        <v>0</v>
      </c>
      <c r="N32" s="14">
        <v>0</v>
      </c>
    </row>
    <row r="33" spans="1:14" x14ac:dyDescent="0.25">
      <c r="A33">
        <f t="shared" si="1"/>
        <v>25</v>
      </c>
      <c r="B33" t="s">
        <v>21</v>
      </c>
      <c r="C33" t="s">
        <v>43</v>
      </c>
      <c r="D33" t="s">
        <v>73</v>
      </c>
      <c r="E33" s="2">
        <v>46146</v>
      </c>
      <c r="F33" s="2"/>
      <c r="G33" s="2"/>
      <c r="H33" t="s">
        <v>22</v>
      </c>
      <c r="I33" s="14">
        <f t="shared" si="0"/>
        <v>0.5</v>
      </c>
      <c r="J33" s="14">
        <v>0.25</v>
      </c>
      <c r="K33" s="26">
        <v>0.25</v>
      </c>
      <c r="L33" s="14">
        <v>0</v>
      </c>
      <c r="M33" s="14">
        <v>0</v>
      </c>
      <c r="N33" s="14">
        <v>0</v>
      </c>
    </row>
    <row r="34" spans="1:14" x14ac:dyDescent="0.25">
      <c r="A34">
        <f t="shared" si="1"/>
        <v>26</v>
      </c>
      <c r="B34" t="s">
        <v>21</v>
      </c>
      <c r="C34" t="s">
        <v>44</v>
      </c>
      <c r="D34" t="s">
        <v>73</v>
      </c>
      <c r="E34" s="2">
        <v>46146</v>
      </c>
      <c r="F34" s="2"/>
      <c r="G34" s="2"/>
      <c r="H34" t="s">
        <v>22</v>
      </c>
      <c r="I34" s="14">
        <f t="shared" si="0"/>
        <v>0.5</v>
      </c>
      <c r="J34" s="14">
        <v>0.25</v>
      </c>
      <c r="K34" s="26">
        <v>0.25</v>
      </c>
      <c r="L34" s="14">
        <v>0</v>
      </c>
      <c r="M34" s="14">
        <v>0</v>
      </c>
      <c r="N34" s="14">
        <v>0</v>
      </c>
    </row>
    <row r="35" spans="1:14" x14ac:dyDescent="0.25">
      <c r="A35">
        <f t="shared" si="1"/>
        <v>27</v>
      </c>
      <c r="B35" t="s">
        <v>21</v>
      </c>
      <c r="C35" t="s">
        <v>107</v>
      </c>
      <c r="D35" t="s">
        <v>73</v>
      </c>
      <c r="E35" s="2">
        <v>46146</v>
      </c>
      <c r="F35" s="2"/>
      <c r="G35" s="2"/>
      <c r="H35" t="s">
        <v>22</v>
      </c>
      <c r="I35" s="14">
        <f t="shared" ref="I35" si="2">SUM(J35:Y35)</f>
        <v>0.25</v>
      </c>
      <c r="J35" s="14">
        <v>0</v>
      </c>
      <c r="K35" s="26">
        <v>0.25</v>
      </c>
      <c r="L35" s="14">
        <v>0</v>
      </c>
      <c r="M35" s="14">
        <v>0</v>
      </c>
      <c r="N35" s="14">
        <v>0</v>
      </c>
    </row>
    <row r="36" spans="1:14" x14ac:dyDescent="0.25">
      <c r="A36">
        <f t="shared" si="1"/>
        <v>28</v>
      </c>
      <c r="B36" t="s">
        <v>21</v>
      </c>
      <c r="C36" t="s">
        <v>45</v>
      </c>
      <c r="D36" s="20" t="s">
        <v>97</v>
      </c>
      <c r="E36" s="2">
        <v>46146</v>
      </c>
      <c r="F36" s="2"/>
      <c r="G36" s="2"/>
      <c r="H36" t="s">
        <v>22</v>
      </c>
      <c r="I36" s="14">
        <f t="shared" si="0"/>
        <v>10</v>
      </c>
      <c r="J36" s="14">
        <v>5</v>
      </c>
      <c r="K36" s="14">
        <v>5</v>
      </c>
      <c r="L36" s="14">
        <v>0</v>
      </c>
      <c r="M36" s="14">
        <v>0</v>
      </c>
      <c r="N36" s="14">
        <v>0</v>
      </c>
    </row>
    <row r="37" spans="1:14" x14ac:dyDescent="0.25">
      <c r="A37">
        <f t="shared" si="1"/>
        <v>29</v>
      </c>
      <c r="B37" t="s">
        <v>21</v>
      </c>
      <c r="C37" t="s">
        <v>29</v>
      </c>
      <c r="D37" t="s">
        <v>75</v>
      </c>
      <c r="E37" s="2">
        <v>46146</v>
      </c>
      <c r="F37" s="2"/>
      <c r="G37" s="2"/>
      <c r="H37" t="s">
        <v>22</v>
      </c>
      <c r="I37" s="14">
        <f t="shared" si="0"/>
        <v>0.75</v>
      </c>
      <c r="J37" s="14">
        <v>0.75</v>
      </c>
      <c r="K37" s="14">
        <v>0</v>
      </c>
      <c r="L37" s="14">
        <v>0</v>
      </c>
      <c r="M37" s="14">
        <v>0</v>
      </c>
      <c r="N37" s="14">
        <v>0</v>
      </c>
    </row>
    <row r="38" spans="1:14" x14ac:dyDescent="0.25">
      <c r="A38">
        <f t="shared" si="1"/>
        <v>30</v>
      </c>
      <c r="B38" t="s">
        <v>21</v>
      </c>
      <c r="C38" t="s">
        <v>30</v>
      </c>
      <c r="D38" t="s">
        <v>75</v>
      </c>
      <c r="E38" s="2">
        <v>46146</v>
      </c>
      <c r="F38" s="2"/>
      <c r="G38" s="2"/>
      <c r="H38" t="s">
        <v>22</v>
      </c>
      <c r="I38" s="14">
        <f t="shared" si="0"/>
        <v>0.75</v>
      </c>
      <c r="J38" s="14">
        <v>0.75</v>
      </c>
      <c r="K38" s="14">
        <v>0</v>
      </c>
      <c r="L38" s="14">
        <v>0</v>
      </c>
      <c r="M38" s="14">
        <v>0</v>
      </c>
      <c r="N38" s="14">
        <v>0</v>
      </c>
    </row>
    <row r="39" spans="1:14" x14ac:dyDescent="0.25">
      <c r="A39">
        <f t="shared" si="1"/>
        <v>31</v>
      </c>
      <c r="B39" t="s">
        <v>21</v>
      </c>
      <c r="C39" t="s">
        <v>31</v>
      </c>
      <c r="D39" t="s">
        <v>75</v>
      </c>
      <c r="E39" s="2">
        <v>46146</v>
      </c>
      <c r="F39" s="2"/>
      <c r="G39" s="2"/>
      <c r="H39" t="s">
        <v>22</v>
      </c>
      <c r="I39" s="14">
        <f t="shared" si="0"/>
        <v>3</v>
      </c>
      <c r="J39" s="14">
        <v>3</v>
      </c>
      <c r="K39" s="14">
        <v>0</v>
      </c>
      <c r="L39" s="14">
        <v>0</v>
      </c>
      <c r="M39" s="14">
        <v>0</v>
      </c>
      <c r="N39" s="14">
        <v>0</v>
      </c>
    </row>
    <row r="40" spans="1:14" x14ac:dyDescent="0.25">
      <c r="A40">
        <f t="shared" si="1"/>
        <v>32</v>
      </c>
      <c r="B40" t="s">
        <v>21</v>
      </c>
      <c r="C40" t="s">
        <v>34</v>
      </c>
      <c r="D40" t="s">
        <v>75</v>
      </c>
      <c r="E40" s="2">
        <v>46146</v>
      </c>
      <c r="F40" s="2"/>
      <c r="G40" s="2"/>
      <c r="H40" t="s">
        <v>22</v>
      </c>
      <c r="I40" s="14">
        <f t="shared" si="0"/>
        <v>1.25</v>
      </c>
      <c r="J40" s="14">
        <v>1.25</v>
      </c>
      <c r="K40" s="14">
        <v>0</v>
      </c>
      <c r="L40" s="14">
        <v>0</v>
      </c>
      <c r="M40" s="14">
        <v>0</v>
      </c>
      <c r="N40" s="14">
        <v>0</v>
      </c>
    </row>
    <row r="41" spans="1:14" x14ac:dyDescent="0.25">
      <c r="A41">
        <f t="shared" si="1"/>
        <v>33</v>
      </c>
      <c r="B41" t="s">
        <v>21</v>
      </c>
      <c r="C41" t="s">
        <v>23</v>
      </c>
      <c r="D41" t="s">
        <v>75</v>
      </c>
      <c r="E41" s="2">
        <v>46146</v>
      </c>
      <c r="F41" s="2"/>
      <c r="G41" s="2"/>
      <c r="H41" t="s">
        <v>22</v>
      </c>
      <c r="I41" s="14">
        <f t="shared" si="0"/>
        <v>1</v>
      </c>
      <c r="J41" s="14">
        <v>1</v>
      </c>
      <c r="K41" s="14">
        <v>0</v>
      </c>
      <c r="L41" s="14">
        <v>0</v>
      </c>
      <c r="M41" s="14">
        <v>0</v>
      </c>
      <c r="N41" s="14">
        <v>0</v>
      </c>
    </row>
    <row r="42" spans="1:14" x14ac:dyDescent="0.25">
      <c r="A42">
        <f t="shared" si="1"/>
        <v>34</v>
      </c>
      <c r="B42" t="s">
        <v>21</v>
      </c>
      <c r="C42" t="s">
        <v>24</v>
      </c>
      <c r="D42" t="s">
        <v>75</v>
      </c>
      <c r="E42" s="2">
        <v>46146</v>
      </c>
      <c r="F42" s="2"/>
      <c r="G42" s="2"/>
      <c r="H42" t="s">
        <v>22</v>
      </c>
      <c r="I42" s="14">
        <f t="shared" si="0"/>
        <v>0.75</v>
      </c>
      <c r="J42" s="14">
        <v>0.75</v>
      </c>
      <c r="K42" s="14">
        <v>0</v>
      </c>
      <c r="L42" s="14">
        <v>0</v>
      </c>
      <c r="M42" s="14">
        <v>0</v>
      </c>
      <c r="N42" s="14">
        <v>0</v>
      </c>
    </row>
    <row r="43" spans="1:14" x14ac:dyDescent="0.25">
      <c r="A43">
        <f t="shared" si="1"/>
        <v>35</v>
      </c>
      <c r="B43" t="s">
        <v>21</v>
      </c>
      <c r="C43" t="s">
        <v>25</v>
      </c>
      <c r="D43" t="s">
        <v>75</v>
      </c>
      <c r="E43" s="2">
        <v>46146</v>
      </c>
      <c r="F43" s="2"/>
      <c r="G43" s="2"/>
      <c r="H43" t="s">
        <v>22</v>
      </c>
      <c r="I43" s="14">
        <f t="shared" si="0"/>
        <v>0.25</v>
      </c>
      <c r="J43" s="14">
        <v>0.25</v>
      </c>
      <c r="K43" s="14">
        <v>0</v>
      </c>
      <c r="L43" s="14">
        <v>0</v>
      </c>
      <c r="M43" s="14">
        <v>0</v>
      </c>
      <c r="N43" s="14">
        <v>0</v>
      </c>
    </row>
    <row r="44" spans="1:14" x14ac:dyDescent="0.25">
      <c r="A44">
        <f t="shared" si="1"/>
        <v>36</v>
      </c>
      <c r="B44" t="s">
        <v>21</v>
      </c>
      <c r="C44" t="s">
        <v>32</v>
      </c>
      <c r="D44" t="s">
        <v>75</v>
      </c>
      <c r="E44" s="2">
        <v>46146</v>
      </c>
      <c r="F44" s="2"/>
      <c r="G44" s="2"/>
      <c r="H44" t="s">
        <v>22</v>
      </c>
      <c r="I44" s="14">
        <f t="shared" si="0"/>
        <v>1.75</v>
      </c>
      <c r="J44" s="14">
        <v>1.75</v>
      </c>
      <c r="K44" s="14">
        <v>0</v>
      </c>
      <c r="L44" s="14">
        <v>0</v>
      </c>
      <c r="M44" s="14">
        <v>0</v>
      </c>
      <c r="N44" s="14">
        <v>0</v>
      </c>
    </row>
    <row r="45" spans="1:14" x14ac:dyDescent="0.25">
      <c r="A45">
        <f t="shared" si="1"/>
        <v>37</v>
      </c>
      <c r="B45" t="s">
        <v>21</v>
      </c>
      <c r="C45" t="s">
        <v>28</v>
      </c>
      <c r="D45" t="s">
        <v>75</v>
      </c>
      <c r="E45" s="2">
        <v>46146</v>
      </c>
      <c r="F45" s="2"/>
      <c r="G45" s="2"/>
      <c r="H45" t="s">
        <v>22</v>
      </c>
      <c r="I45" s="14">
        <f t="shared" si="0"/>
        <v>0.5</v>
      </c>
      <c r="J45" s="14">
        <v>0.5</v>
      </c>
      <c r="K45" s="14">
        <v>0</v>
      </c>
      <c r="L45" s="14">
        <v>0</v>
      </c>
      <c r="M45" s="14">
        <v>0</v>
      </c>
      <c r="N45" s="14">
        <v>0</v>
      </c>
    </row>
    <row r="46" spans="1:14" x14ac:dyDescent="0.25">
      <c r="A46">
        <f t="shared" si="1"/>
        <v>38</v>
      </c>
      <c r="B46" t="s">
        <v>21</v>
      </c>
      <c r="C46" t="s">
        <v>33</v>
      </c>
      <c r="D46" t="s">
        <v>75</v>
      </c>
      <c r="E46" s="2">
        <v>46146</v>
      </c>
      <c r="F46" s="2"/>
      <c r="G46" s="2"/>
      <c r="H46" t="s">
        <v>22</v>
      </c>
      <c r="I46" s="14">
        <f t="shared" si="0"/>
        <v>1.25</v>
      </c>
      <c r="J46" s="14">
        <v>1.25</v>
      </c>
      <c r="K46" s="14">
        <v>0</v>
      </c>
      <c r="L46" s="14">
        <v>0</v>
      </c>
      <c r="M46" s="14">
        <v>0</v>
      </c>
      <c r="N46" s="14">
        <v>0</v>
      </c>
    </row>
    <row r="47" spans="1:14" x14ac:dyDescent="0.25">
      <c r="A47">
        <f t="shared" si="1"/>
        <v>39</v>
      </c>
      <c r="B47" t="s">
        <v>21</v>
      </c>
      <c r="C47" t="s">
        <v>35</v>
      </c>
      <c r="D47" t="s">
        <v>75</v>
      </c>
      <c r="E47" s="2">
        <v>46146</v>
      </c>
      <c r="F47" s="2"/>
      <c r="G47" s="2"/>
      <c r="H47" t="s">
        <v>22</v>
      </c>
      <c r="I47" s="14">
        <f t="shared" si="0"/>
        <v>0.5</v>
      </c>
      <c r="J47" s="14">
        <v>0.5</v>
      </c>
      <c r="K47" s="14">
        <v>0</v>
      </c>
      <c r="L47" s="14">
        <v>0</v>
      </c>
      <c r="M47" s="14">
        <v>0</v>
      </c>
      <c r="N47" s="14">
        <v>0</v>
      </c>
    </row>
    <row r="48" spans="1:14" x14ac:dyDescent="0.25">
      <c r="A48">
        <f t="shared" si="1"/>
        <v>40</v>
      </c>
      <c r="B48" t="s">
        <v>21</v>
      </c>
      <c r="C48" t="s">
        <v>26</v>
      </c>
      <c r="D48" t="s">
        <v>75</v>
      </c>
      <c r="E48" s="2">
        <v>46146</v>
      </c>
      <c r="F48" s="2"/>
      <c r="G48" s="2"/>
      <c r="H48" t="s">
        <v>22</v>
      </c>
      <c r="I48" s="14">
        <f t="shared" si="0"/>
        <v>1</v>
      </c>
      <c r="J48" s="14">
        <v>1</v>
      </c>
      <c r="K48" s="14">
        <v>0</v>
      </c>
      <c r="L48" s="14">
        <v>0</v>
      </c>
      <c r="M48" s="14">
        <v>0</v>
      </c>
      <c r="N48" s="14">
        <v>0</v>
      </c>
    </row>
    <row r="49" spans="1:14" x14ac:dyDescent="0.25">
      <c r="A49">
        <f t="shared" si="1"/>
        <v>41</v>
      </c>
      <c r="B49" t="s">
        <v>21</v>
      </c>
      <c r="C49" t="s">
        <v>27</v>
      </c>
      <c r="D49" t="s">
        <v>75</v>
      </c>
      <c r="E49" s="2">
        <v>46146</v>
      </c>
      <c r="F49" s="2"/>
      <c r="G49" s="2"/>
      <c r="H49" t="s">
        <v>22</v>
      </c>
      <c r="I49" s="14">
        <f t="shared" si="0"/>
        <v>1.5</v>
      </c>
      <c r="J49" s="14">
        <v>1.5</v>
      </c>
      <c r="K49" s="14">
        <v>0</v>
      </c>
      <c r="L49" s="14">
        <v>0</v>
      </c>
      <c r="M49" s="14">
        <v>0</v>
      </c>
      <c r="N49" s="14">
        <v>0</v>
      </c>
    </row>
    <row r="50" spans="1:14" x14ac:dyDescent="0.25">
      <c r="A50">
        <f t="shared" si="1"/>
        <v>42</v>
      </c>
      <c r="B50" t="s">
        <v>21</v>
      </c>
      <c r="C50" t="s">
        <v>37</v>
      </c>
      <c r="D50" t="s">
        <v>75</v>
      </c>
      <c r="E50" s="2">
        <v>46146</v>
      </c>
      <c r="F50" s="2"/>
      <c r="G50" s="2"/>
      <c r="H50" t="s">
        <v>22</v>
      </c>
      <c r="I50" s="14">
        <f t="shared" si="0"/>
        <v>0.5</v>
      </c>
      <c r="J50" s="14">
        <v>0.5</v>
      </c>
      <c r="K50" s="14">
        <v>0</v>
      </c>
      <c r="L50" s="14">
        <v>0</v>
      </c>
      <c r="M50" s="14">
        <v>0</v>
      </c>
      <c r="N50" s="14">
        <v>0</v>
      </c>
    </row>
    <row r="51" spans="1:14" x14ac:dyDescent="0.25">
      <c r="A51">
        <f t="shared" si="1"/>
        <v>43</v>
      </c>
      <c r="B51" t="s">
        <v>21</v>
      </c>
      <c r="C51" t="s">
        <v>38</v>
      </c>
      <c r="D51" t="s">
        <v>75</v>
      </c>
      <c r="E51" s="2">
        <v>46146</v>
      </c>
      <c r="F51" s="2"/>
      <c r="G51" s="2"/>
      <c r="H51" t="s">
        <v>22</v>
      </c>
      <c r="I51" s="14">
        <f t="shared" si="0"/>
        <v>0.25</v>
      </c>
      <c r="J51" s="14">
        <v>0.25</v>
      </c>
      <c r="K51" s="14">
        <v>0</v>
      </c>
      <c r="L51" s="14">
        <v>0</v>
      </c>
      <c r="M51" s="14">
        <v>0</v>
      </c>
      <c r="N51" s="14">
        <v>0</v>
      </c>
    </row>
    <row r="52" spans="1:14" x14ac:dyDescent="0.25">
      <c r="A52">
        <v>44</v>
      </c>
      <c r="B52" t="s">
        <v>21</v>
      </c>
      <c r="C52" t="s">
        <v>110</v>
      </c>
      <c r="D52" t="s">
        <v>73</v>
      </c>
      <c r="E52" s="2">
        <v>46146</v>
      </c>
      <c r="F52" s="2"/>
      <c r="G52" s="2"/>
      <c r="H52" t="s">
        <v>22</v>
      </c>
      <c r="I52" s="14">
        <f t="shared" ref="I52" si="3">SUM(J52:Y52)</f>
        <v>5</v>
      </c>
      <c r="J52" s="14">
        <v>0</v>
      </c>
      <c r="K52" s="14">
        <v>5</v>
      </c>
      <c r="L52" s="14">
        <v>0</v>
      </c>
      <c r="M52" s="14">
        <v>0</v>
      </c>
      <c r="N52" s="14">
        <v>0</v>
      </c>
    </row>
    <row r="53" spans="1:14" x14ac:dyDescent="0.25">
      <c r="A53">
        <v>45</v>
      </c>
      <c r="B53" t="s">
        <v>108</v>
      </c>
      <c r="C53" t="s">
        <v>109</v>
      </c>
      <c r="D53" t="s">
        <v>75</v>
      </c>
      <c r="E53" s="2">
        <v>46146</v>
      </c>
      <c r="F53" s="2"/>
      <c r="G53" s="2"/>
      <c r="H53" t="s">
        <v>22</v>
      </c>
      <c r="I53" s="14">
        <f t="shared" ref="I53" si="4">SUM(J53:Y53)</f>
        <v>2</v>
      </c>
      <c r="J53" s="14">
        <v>0</v>
      </c>
      <c r="K53" s="14">
        <v>2</v>
      </c>
      <c r="L53" s="14">
        <v>0</v>
      </c>
      <c r="M53" s="14">
        <v>0</v>
      </c>
      <c r="N53" s="14">
        <v>0</v>
      </c>
    </row>
    <row r="54" spans="1:14" x14ac:dyDescent="0.25">
      <c r="E54" s="2"/>
      <c r="F54" s="2"/>
      <c r="G54" s="2"/>
      <c r="I54" s="14"/>
    </row>
    <row r="55" spans="1:14" x14ac:dyDescent="0.25">
      <c r="E55" s="2"/>
      <c r="F55" s="2"/>
      <c r="G55" s="2"/>
      <c r="I55" s="14"/>
    </row>
    <row r="56" spans="1:14" ht="15.75" thickBot="1" x14ac:dyDescent="0.3">
      <c r="A56" s="13" t="s">
        <v>46</v>
      </c>
      <c r="B56" s="9"/>
      <c r="C56" s="9"/>
      <c r="D56" s="9"/>
      <c r="E56" s="9"/>
      <c r="F56" s="9"/>
      <c r="G56" s="9"/>
      <c r="H56" s="9"/>
      <c r="I56" s="15">
        <f t="shared" ref="I56:N56" si="5">SUM(I8:I55)</f>
        <v>68.75</v>
      </c>
      <c r="J56" s="15">
        <f t="shared" si="5"/>
        <v>38.25</v>
      </c>
      <c r="K56" s="15">
        <f t="shared" si="5"/>
        <v>30.5</v>
      </c>
      <c r="L56" s="15">
        <f t="shared" si="5"/>
        <v>0</v>
      </c>
      <c r="M56" s="15">
        <f t="shared" si="5"/>
        <v>0</v>
      </c>
      <c r="N56" s="15">
        <f t="shared" si="5"/>
        <v>0</v>
      </c>
    </row>
    <row r="57" spans="1:14" ht="15.75" thickTop="1" x14ac:dyDescent="0.25">
      <c r="I57" s="14"/>
      <c r="J57" s="14"/>
      <c r="K57" s="14"/>
      <c r="L57" s="14"/>
      <c r="M57" s="14"/>
      <c r="N57" s="14"/>
    </row>
    <row r="58" spans="1:14" x14ac:dyDescent="0.25">
      <c r="A58" s="1" t="s">
        <v>47</v>
      </c>
      <c r="I58" s="14"/>
      <c r="J58" s="14"/>
      <c r="K58" s="14"/>
      <c r="L58" s="14"/>
      <c r="M58" s="14"/>
      <c r="N58" s="14"/>
    </row>
    <row r="59" spans="1:14" x14ac:dyDescent="0.25">
      <c r="A59">
        <v>1</v>
      </c>
      <c r="B59" t="s">
        <v>48</v>
      </c>
      <c r="C59" t="s">
        <v>48</v>
      </c>
      <c r="D59" t="s">
        <v>64</v>
      </c>
      <c r="E59" s="2"/>
      <c r="H59" t="s">
        <v>22</v>
      </c>
      <c r="I59" s="14">
        <f>SUM(J59:N59)</f>
        <v>3.5</v>
      </c>
      <c r="J59" s="14">
        <f>0.25*5+0.5</f>
        <v>1.75</v>
      </c>
      <c r="K59" s="14">
        <f>0.25*5+0.5</f>
        <v>1.75</v>
      </c>
      <c r="L59" s="14">
        <v>0</v>
      </c>
      <c r="M59" s="14">
        <v>0</v>
      </c>
      <c r="N59" s="14">
        <v>0</v>
      </c>
    </row>
    <row r="60" spans="1:14" x14ac:dyDescent="0.25">
      <c r="A60">
        <f>A59+1</f>
        <v>2</v>
      </c>
      <c r="B60" t="s">
        <v>48</v>
      </c>
      <c r="C60" t="s">
        <v>48</v>
      </c>
      <c r="D60" t="s">
        <v>102</v>
      </c>
      <c r="E60" s="2"/>
      <c r="H60" t="s">
        <v>22</v>
      </c>
      <c r="I60" s="14">
        <f t="shared" ref="I60:I63" si="6">SUM(J60:N60)</f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</row>
    <row r="61" spans="1:14" x14ac:dyDescent="0.25">
      <c r="A61">
        <f t="shared" ref="A61:A63" si="7">A60+1</f>
        <v>3</v>
      </c>
      <c r="B61" t="s">
        <v>49</v>
      </c>
      <c r="C61" t="s">
        <v>49</v>
      </c>
      <c r="D61" t="s">
        <v>49</v>
      </c>
      <c r="H61" t="s">
        <v>22</v>
      </c>
      <c r="I61" s="14">
        <f t="shared" si="6"/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</row>
    <row r="62" spans="1:14" x14ac:dyDescent="0.25">
      <c r="A62">
        <f t="shared" si="7"/>
        <v>4</v>
      </c>
      <c r="B62" t="s">
        <v>50</v>
      </c>
      <c r="C62" t="s">
        <v>50</v>
      </c>
      <c r="D62" t="s">
        <v>101</v>
      </c>
      <c r="E62" s="2"/>
      <c r="H62" t="s">
        <v>22</v>
      </c>
      <c r="I62" s="14">
        <f t="shared" si="6"/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</row>
    <row r="63" spans="1:14" x14ac:dyDescent="0.25">
      <c r="A63">
        <f t="shared" si="7"/>
        <v>5</v>
      </c>
      <c r="B63" t="s">
        <v>51</v>
      </c>
      <c r="C63" t="s">
        <v>51</v>
      </c>
      <c r="D63" t="s">
        <v>51</v>
      </c>
      <c r="H63" t="s">
        <v>22</v>
      </c>
      <c r="I63" s="14">
        <f t="shared" si="6"/>
        <v>7.75</v>
      </c>
      <c r="J63" s="14">
        <f>40-SUM(J59:J62)-J56</f>
        <v>0</v>
      </c>
      <c r="K63" s="14">
        <v>7.75</v>
      </c>
      <c r="L63" s="14">
        <v>0</v>
      </c>
      <c r="M63" s="14">
        <v>0</v>
      </c>
      <c r="N63" s="14">
        <v>0</v>
      </c>
    </row>
    <row r="65" spans="1:14" ht="15.75" thickBot="1" x14ac:dyDescent="0.3">
      <c r="A65" s="13" t="s">
        <v>52</v>
      </c>
      <c r="B65" s="9"/>
      <c r="C65" s="9"/>
      <c r="D65" s="9"/>
      <c r="E65" s="9"/>
      <c r="F65" s="9"/>
      <c r="G65" s="9"/>
      <c r="H65" s="9"/>
      <c r="I65" s="15">
        <f t="shared" ref="I65:N65" si="8">SUM(I59:I64)</f>
        <v>11.25</v>
      </c>
      <c r="J65" s="15">
        <f t="shared" si="8"/>
        <v>1.75</v>
      </c>
      <c r="K65" s="15">
        <f t="shared" si="8"/>
        <v>9.5</v>
      </c>
      <c r="L65" s="15">
        <f t="shared" si="8"/>
        <v>0</v>
      </c>
      <c r="M65" s="15">
        <f t="shared" si="8"/>
        <v>0</v>
      </c>
      <c r="N65" s="15">
        <f t="shared" si="8"/>
        <v>0</v>
      </c>
    </row>
    <row r="66" spans="1:14" ht="15.75" thickTop="1" x14ac:dyDescent="0.25">
      <c r="I66" s="14"/>
      <c r="J66" s="14"/>
      <c r="K66" s="14"/>
      <c r="L66" s="14"/>
      <c r="M66" s="14"/>
      <c r="N66" s="14"/>
    </row>
    <row r="67" spans="1:14" ht="15.75" thickBot="1" x14ac:dyDescent="0.3">
      <c r="A67" s="13" t="s">
        <v>53</v>
      </c>
      <c r="B67" s="9"/>
      <c r="C67" s="9"/>
      <c r="D67" s="9"/>
      <c r="E67" s="9"/>
      <c r="F67" s="9"/>
      <c r="G67" s="9"/>
      <c r="H67" s="9"/>
      <c r="I67" s="15">
        <f t="shared" ref="I67:N67" si="9">+I65+I56</f>
        <v>80</v>
      </c>
      <c r="J67" s="15">
        <f t="shared" si="9"/>
        <v>40</v>
      </c>
      <c r="K67" s="15">
        <f t="shared" si="9"/>
        <v>40</v>
      </c>
      <c r="L67" s="15">
        <f t="shared" si="9"/>
        <v>0</v>
      </c>
      <c r="M67" s="15">
        <f t="shared" si="9"/>
        <v>0</v>
      </c>
      <c r="N67" s="15">
        <f t="shared" si="9"/>
        <v>0</v>
      </c>
    </row>
    <row r="68" spans="1:14" ht="15.75" thickTop="1" x14ac:dyDescent="0.25"/>
    <row r="70" spans="1:14" ht="15.75" thickBot="1" x14ac:dyDescent="0.3">
      <c r="A70" s="13" t="s">
        <v>54</v>
      </c>
      <c r="B70" s="9"/>
      <c r="C70" s="9"/>
      <c r="D70" s="9"/>
      <c r="E70" s="9"/>
      <c r="F70" s="9"/>
      <c r="G70" s="9"/>
      <c r="H70" s="9"/>
      <c r="I70" s="15"/>
      <c r="J70" s="15">
        <v>40</v>
      </c>
      <c r="K70" s="15">
        <v>40</v>
      </c>
      <c r="L70" s="15">
        <v>40</v>
      </c>
      <c r="M70" s="15">
        <v>40</v>
      </c>
      <c r="N70" s="15">
        <v>40</v>
      </c>
    </row>
    <row r="71" spans="1:14" ht="16.5" thickTop="1" thickBot="1" x14ac:dyDescent="0.3">
      <c r="A71" s="13" t="s">
        <v>55</v>
      </c>
      <c r="B71" s="9"/>
      <c r="C71" s="9"/>
      <c r="D71" s="9"/>
      <c r="E71" s="9"/>
      <c r="F71" s="9"/>
      <c r="G71" s="9"/>
      <c r="H71" s="9"/>
      <c r="I71" s="15"/>
      <c r="J71" s="15">
        <f>+J70-J67</f>
        <v>0</v>
      </c>
      <c r="K71" s="15">
        <f t="shared" ref="K71:N71" si="10">+K70-K67</f>
        <v>0</v>
      </c>
      <c r="L71" s="15">
        <f t="shared" si="10"/>
        <v>40</v>
      </c>
      <c r="M71" s="15">
        <f t="shared" si="10"/>
        <v>40</v>
      </c>
      <c r="N71" s="15">
        <f t="shared" si="10"/>
        <v>40</v>
      </c>
    </row>
    <row r="72" spans="1:14" ht="15.75" thickTop="1" x14ac:dyDescent="0.25"/>
  </sheetData>
  <protectedRanges>
    <protectedRange sqref="E62:E64 C36:D36 G36 C37:C40 F37:G40 G41:G45 C55 G9:G14 A8:XFD8 E55:XFD55 E54:G54 C43:C51 F15:G35 A59:XFD59 E60:XFD60 F61:XFD64 A60:D64 C11:C35 A9:A55 H9:XFD54 F46:G53" name="Range1"/>
    <protectedRange sqref="B9:B52 B54:B55" name="Range1_1"/>
    <protectedRange sqref="D9:D35 D37:D55" name="Range1_2"/>
    <protectedRange sqref="E9:F9 F41:F45 F10:F14 E10:E53" name="Range1_3"/>
    <protectedRange sqref="C52" name="Range1_4"/>
    <protectedRange sqref="C53" name="Range1_5"/>
    <protectedRange sqref="B53" name="Range1_1_2"/>
  </protectedRanges>
  <autoFilter ref="A7:N7" xr:uid="{00000000-0001-0000-0000-000000000000}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76CDE4-B3D3-4C14-BAA9-0FEB9A219964}">
          <x14:formula1>
            <xm:f>Status!$B$15:$B$22</xm:f>
          </x14:formula1>
          <xm:sqref>H59:H63 H9:H55</xm:sqref>
        </x14:dataValidation>
        <x14:dataValidation type="list" allowBlank="1" showInputMessage="1" showErrorMessage="1" xr:uid="{022A67C1-0782-4F2F-A816-EB79C8471DDA}">
          <x14:formula1>
            <xm:f>Status!$B$4:$B$12</xm:f>
          </x14:formula1>
          <xm:sqref>D9:D55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2"/>
  <sheetViews>
    <sheetView topLeftCell="A20" workbookViewId="0">
      <selection activeCell="C36" sqref="C36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3" spans="2:3" ht="16.5" x14ac:dyDescent="0.25">
      <c r="B3" s="21" t="s">
        <v>65</v>
      </c>
      <c r="C3" s="21" t="s">
        <v>66</v>
      </c>
    </row>
    <row r="4" spans="2:3" x14ac:dyDescent="0.25">
      <c r="B4" s="22" t="s">
        <v>67</v>
      </c>
      <c r="C4" s="23" t="s">
        <v>68</v>
      </c>
    </row>
    <row r="5" spans="2:3" x14ac:dyDescent="0.25">
      <c r="B5" s="22" t="s">
        <v>69</v>
      </c>
      <c r="C5" s="23" t="s">
        <v>70</v>
      </c>
    </row>
    <row r="6" spans="2:3" x14ac:dyDescent="0.25">
      <c r="B6" s="22" t="s">
        <v>71</v>
      </c>
      <c r="C6" s="23" t="s">
        <v>72</v>
      </c>
    </row>
    <row r="7" spans="2:3" x14ac:dyDescent="0.25">
      <c r="B7" s="22" t="s">
        <v>73</v>
      </c>
      <c r="C7" s="23" t="s">
        <v>74</v>
      </c>
    </row>
    <row r="8" spans="2:3" x14ac:dyDescent="0.25">
      <c r="B8" s="22" t="s">
        <v>75</v>
      </c>
      <c r="C8" s="23" t="s">
        <v>76</v>
      </c>
    </row>
    <row r="9" spans="2:3" x14ac:dyDescent="0.25">
      <c r="B9" s="22" t="s">
        <v>77</v>
      </c>
      <c r="C9" s="23" t="s">
        <v>78</v>
      </c>
    </row>
    <row r="10" spans="2:3" x14ac:dyDescent="0.25">
      <c r="B10" s="22" t="s">
        <v>79</v>
      </c>
      <c r="C10" s="23" t="s">
        <v>80</v>
      </c>
    </row>
    <row r="11" spans="2:3" x14ac:dyDescent="0.25">
      <c r="B11" s="22" t="s">
        <v>81</v>
      </c>
      <c r="C11" s="23" t="s">
        <v>82</v>
      </c>
    </row>
    <row r="12" spans="2:3" x14ac:dyDescent="0.25">
      <c r="B12" s="22" t="s">
        <v>97</v>
      </c>
      <c r="C12" s="25" t="s">
        <v>98</v>
      </c>
    </row>
    <row r="14" spans="2:3" ht="16.5" x14ac:dyDescent="0.25">
      <c r="B14" s="21" t="s">
        <v>83</v>
      </c>
      <c r="C14" s="21" t="s">
        <v>66</v>
      </c>
    </row>
    <row r="15" spans="2:3" x14ac:dyDescent="0.25">
      <c r="B15" s="24" t="s">
        <v>22</v>
      </c>
      <c r="C15" s="23" t="s">
        <v>84</v>
      </c>
    </row>
    <row r="16" spans="2:3" x14ac:dyDescent="0.25">
      <c r="B16" s="24" t="s">
        <v>85</v>
      </c>
      <c r="C16" s="23" t="s">
        <v>86</v>
      </c>
    </row>
    <row r="17" spans="2:3" x14ac:dyDescent="0.25">
      <c r="B17" s="24" t="s">
        <v>87</v>
      </c>
      <c r="C17" s="23" t="s">
        <v>88</v>
      </c>
    </row>
    <row r="18" spans="2:3" x14ac:dyDescent="0.25">
      <c r="B18" s="24" t="s">
        <v>56</v>
      </c>
      <c r="C18" s="23" t="s">
        <v>89</v>
      </c>
    </row>
    <row r="19" spans="2:3" x14ac:dyDescent="0.25">
      <c r="B19" s="24" t="s">
        <v>57</v>
      </c>
      <c r="C19" s="23" t="s">
        <v>90</v>
      </c>
    </row>
    <row r="20" spans="2:3" x14ac:dyDescent="0.25">
      <c r="B20" s="24" t="s">
        <v>91</v>
      </c>
      <c r="C20" s="23" t="s">
        <v>92</v>
      </c>
    </row>
    <row r="21" spans="2:3" x14ac:dyDescent="0.25">
      <c r="B21" s="24" t="s">
        <v>93</v>
      </c>
      <c r="C21" s="23" t="s">
        <v>94</v>
      </c>
    </row>
    <row r="22" spans="2:3" x14ac:dyDescent="0.25">
      <c r="B22" s="24" t="s">
        <v>95</v>
      </c>
      <c r="C22" s="23" t="s">
        <v>96</v>
      </c>
    </row>
  </sheetData>
  <protectedRanges>
    <protectedRange sqref="C12" name="Range1_1"/>
  </protectedRange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7"/>
  <sheetViews>
    <sheetView workbookViewId="0">
      <selection activeCell="A7" sqref="A7"/>
    </sheetView>
  </sheetViews>
  <sheetFormatPr defaultRowHeight="15" x14ac:dyDescent="0.25"/>
  <cols>
    <col min="1" max="1" width="79.7109375" bestFit="1" customWidth="1"/>
  </cols>
  <sheetData>
    <row r="1" spans="1:1" s="17" customFormat="1" ht="16.5" thickBot="1" x14ac:dyDescent="0.3">
      <c r="A1" s="19" t="s">
        <v>58</v>
      </c>
    </row>
    <row r="2" spans="1:1" s="17" customFormat="1" ht="15.75" x14ac:dyDescent="0.25">
      <c r="A2" s="18"/>
    </row>
    <row r="3" spans="1:1" ht="15.75" x14ac:dyDescent="0.25">
      <c r="A3" s="16" t="s">
        <v>59</v>
      </c>
    </row>
    <row r="4" spans="1:1" ht="15.75" x14ac:dyDescent="0.25">
      <c r="A4" s="16" t="s">
        <v>60</v>
      </c>
    </row>
    <row r="5" spans="1:1" ht="15.75" x14ac:dyDescent="0.25">
      <c r="A5" s="16" t="s">
        <v>61</v>
      </c>
    </row>
    <row r="6" spans="1:1" ht="15.75" x14ac:dyDescent="0.25">
      <c r="A6" s="16" t="s">
        <v>62</v>
      </c>
    </row>
    <row r="7" spans="1:1" ht="15.75" x14ac:dyDescent="0.25">
      <c r="A7" s="16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Anantkumar Suthar</cp:lastModifiedBy>
  <cp:revision/>
  <dcterms:created xsi:type="dcterms:W3CDTF">2015-06-05T18:17:20Z</dcterms:created>
  <dcterms:modified xsi:type="dcterms:W3CDTF">2026-05-01T16:28:52Z</dcterms:modified>
  <cp:category/>
  <cp:contentStatus/>
</cp:coreProperties>
</file>