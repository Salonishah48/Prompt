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T:\Sprline\WIP\May\W1 05.04\"/>
    </mc:Choice>
  </mc:AlternateContent>
  <xr:revisionPtr revIDLastSave="0" documentId="13_ncr:1_{67CBFE7D-0083-4C27-98A8-8063D186AEC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  <sheet name="Client List" sheetId="4" r:id="rId4"/>
  </sheets>
  <definedNames>
    <definedName name="_xlnm._FilterDatabase" localSheetId="0" hidden="1">WIP!$A$7:$I$16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I23" i="1"/>
  <c r="I20" i="1"/>
  <c r="I10" i="1"/>
  <c r="I11" i="1"/>
  <c r="I12" i="1"/>
  <c r="I13" i="1"/>
  <c r="I14" i="1"/>
  <c r="I15" i="1"/>
  <c r="I16" i="1"/>
  <c r="I17" i="1"/>
  <c r="I9" i="1"/>
  <c r="K29" i="1"/>
  <c r="K20" i="1"/>
  <c r="I25" i="1"/>
  <c r="I26" i="1"/>
  <c r="J29" i="1"/>
  <c r="J20" i="1"/>
  <c r="K6" i="1"/>
  <c r="K31" i="1" l="1"/>
  <c r="K35" i="1" s="1"/>
  <c r="J31" i="1"/>
  <c r="J35" i="1" s="1"/>
  <c r="I29" i="1"/>
  <c r="I31" i="1" s="1"/>
</calcChain>
</file>

<file path=xl/sharedStrings.xml><?xml version="1.0" encoding="utf-8"?>
<sst xmlns="http://schemas.openxmlformats.org/spreadsheetml/2006/main" count="145" uniqueCount="107">
  <si>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</si>
  <si>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</si>
  <si>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</si>
  <si>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</si>
  <si>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</si>
  <si>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</si>
  <si>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</si>
  <si>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</si>
  <si>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</si>
  <si>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</si>
  <si>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</si>
  <si>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</si>
  <si>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</si>
  <si>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</si>
  <si>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</si>
  <si>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</si>
  <si>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</si>
  <si>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</si>
  <si>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</si>
  <si>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</si>
  <si>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</si>
  <si>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</si>
  <si>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</si>
  <si>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</si>
  <si>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</si>
  <si>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</si>
  <si>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</si>
  <si>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</si>
  <si>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</si>
  <si>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</si>
  <si>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</si>
  <si>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</si>
  <si>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</si>
  <si>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</si>
  <si>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</si>
  <si>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</si>
  <si>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</si>
  <si>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</si>
  <si>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</si>
  <si>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</si>
  <si>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</si>
  <si>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</si>
  <si>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</si>
  <si>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</si>
  <si>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</si>
  <si>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</si>
  <si>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</si>
  <si>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</si>
  <si>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</si>
  <si>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</si>
  <si>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</si>
  <si>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</si>
  <si>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</si>
  <si>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</si>
  <si>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</si>
  <si>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</si>
  <si>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</si>
  <si>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</si>
  <si>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</si>
  <si>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</si>
  <si>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</si>
  <si>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</si>
  <si>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</si>
  <si>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</si>
  <si>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</si>
  <si>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</si>
  <si>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</si>
  <si>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</si>
  <si>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Convery CPA</t>
  </si>
  <si>
    <t>Taxcap Business Services Inc.</t>
  </si>
  <si>
    <t>The Tax Planning Pros</t>
  </si>
  <si>
    <t>Hilltop Research</t>
  </si>
  <si>
    <t>Jainam Appa</t>
  </si>
  <si>
    <t>Senior Manager</t>
  </si>
  <si>
    <t>Piyush Prajapati</t>
  </si>
  <si>
    <t>Client Meetings and Communication</t>
  </si>
  <si>
    <t>Meeting and communication with client, poc</t>
  </si>
  <si>
    <t>Conscious Accounting</t>
  </si>
  <si>
    <t>Benchmark excavating Inc.</t>
  </si>
  <si>
    <t>Clarke Public Accounting, Co.</t>
  </si>
  <si>
    <t>SDA CPA Group, P.C</t>
  </si>
  <si>
    <t>Sr.No</t>
  </si>
  <si>
    <t>Advanced Accounting &amp; Tax Solutions</t>
  </si>
  <si>
    <t>Bearden Stroup &amp; Associates CPAs</t>
  </si>
  <si>
    <t>Bookworks Accounting &amp; Bookkeeping, LLC</t>
  </si>
  <si>
    <t>CAVU Human Capital Management</t>
  </si>
  <si>
    <t>Christy Shepherd Ervin</t>
  </si>
  <si>
    <t>DPB CPA</t>
  </si>
  <si>
    <t>Gift CPAs, LLC</t>
  </si>
  <si>
    <t>Gracida Homes LLC</t>
  </si>
  <si>
    <t>HM &amp; M Advisory, LLC A Springline Company</t>
  </si>
  <si>
    <t>Jebran &amp; Abraham PC</t>
  </si>
  <si>
    <t>L&amp;Y Tax Advisors (Jake Lambert)</t>
  </si>
  <si>
    <t>Leung Tax Consulting, Inc.</t>
  </si>
  <si>
    <t>Matthew Mann CPA PLLC</t>
  </si>
  <si>
    <t>Mollica and Yeaman LLC</t>
  </si>
  <si>
    <t>Sharp Income Tax Service, Inc.</t>
  </si>
  <si>
    <t>Springline Advisory LLC</t>
  </si>
  <si>
    <t>SPRLINE CONSULTANCY PRIVATE LIMITED</t>
  </si>
  <si>
    <t>Tina Nguyen</t>
  </si>
  <si>
    <t>Total Income Tax LLC</t>
  </si>
  <si>
    <t>VN Florida Homes LLC</t>
  </si>
  <si>
    <t>Warriror Business Services</t>
  </si>
  <si>
    <t>Palma Financial</t>
  </si>
  <si>
    <t>Gurram Tax, LLC</t>
  </si>
  <si>
    <t>Week 1</t>
  </si>
  <si>
    <t>Week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</si>
</sst>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0" fontId="8" fillId="0" borderId="3" xfId="0" applyFont="1" applyBorder="1"/>
    <xf numFmtId="0" fontId="9" fillId="0" borderId="3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zoomScaleNormal="100" workbookViewId="0">
      <pane xSplit="2" ySplit="7" topLeftCell="E25" activePane="bottomRight" state="frozen"/>
      <selection pane="topRight" activeCell="C1" sqref="C1"/>
      <selection pane="bottomLeft" activeCell="A7" sqref="A7"/>
      <selection pane="bottomRight" activeCell="K25" sqref="K25"/>
    </sheetView>
  </sheetViews>
  <sheetFormatPr defaultRowHeight="15" x14ac:dyDescent="0.25"/>
  <cols>
    <col min="1" max="1" width="24.5703125" bestFit="1" customWidth="1"/>
    <col min="2" max="2" width="28.7109375" customWidth="1"/>
    <col min="3" max="3" width="25.140625" customWidth="1"/>
    <col min="4" max="4" width="32.7109375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1" width="10.7109375" bestFit="1" customWidth="1"/>
  </cols>
  <sheetData>
    <row r="1" spans="1:11" x14ac:dyDescent="0.25">
      <c r="A1" s="1" t="s">
        <v>0</v>
      </c>
      <c r="H1" s="9"/>
    </row>
    <row r="2" spans="1:11" x14ac:dyDescent="0.25">
      <c r="A2" s="1" t="s">
        <v>1</v>
      </c>
      <c r="B2" s="8" t="s">
        <v>72</v>
      </c>
      <c r="C2" s="8"/>
      <c r="H2" s="1"/>
      <c r="I2" s="1"/>
    </row>
    <row r="3" spans="1:11" x14ac:dyDescent="0.25">
      <c r="A3" s="1" t="s">
        <v>2</v>
      </c>
      <c r="B3" s="8" t="s">
        <v>73</v>
      </c>
      <c r="C3" s="8"/>
      <c r="H3" s="1"/>
      <c r="I3" s="1"/>
    </row>
    <row r="4" spans="1:11" x14ac:dyDescent="0.25">
      <c r="A4" s="1" t="s">
        <v>3</v>
      </c>
      <c r="B4" s="8" t="s">
        <v>74</v>
      </c>
      <c r="C4" s="8"/>
      <c r="H4" s="1"/>
      <c r="I4" s="1"/>
    </row>
    <row r="5" spans="1:11" x14ac:dyDescent="0.25">
      <c r="A5" s="1"/>
      <c r="B5" s="8"/>
      <c r="C5" s="8"/>
    </row>
    <row r="6" spans="1:11" x14ac:dyDescent="0.25">
      <c r="I6" s="6" t="s">
        <v>4</v>
      </c>
      <c r="J6" s="2">
        <v>46146</v>
      </c>
      <c r="K6" s="2">
        <f t="shared" ref="K6" si="0">J6+7</f>
        <v>46153</v>
      </c>
    </row>
    <row r="7" spans="1:11" ht="30" x14ac:dyDescent="0.25">
      <c r="A7" s="3" t="s">
        <v>5</v>
      </c>
      <c r="B7" s="3" t="s">
        <v>6</v>
      </c>
      <c r="C7" s="3" t="s">
        <v>7</v>
      </c>
      <c r="D7" s="21" t="s">
        <v>35</v>
      </c>
      <c r="E7" s="3" t="s">
        <v>8</v>
      </c>
      <c r="F7" s="3" t="s">
        <v>9</v>
      </c>
      <c r="G7" s="3" t="s">
        <v>10</v>
      </c>
      <c r="H7" s="21" t="s">
        <v>11</v>
      </c>
      <c r="I7" s="3" t="s">
        <v>12</v>
      </c>
      <c r="J7" s="3" t="s">
        <v>105</v>
      </c>
      <c r="K7" s="3" t="s">
        <v>106</v>
      </c>
    </row>
    <row r="8" spans="1:11" x14ac:dyDescent="0.25">
      <c r="A8" s="5" t="s">
        <v>13</v>
      </c>
      <c r="B8" s="4"/>
      <c r="C8" s="4"/>
      <c r="D8" s="21"/>
      <c r="E8" s="4"/>
      <c r="F8" s="4"/>
      <c r="G8" s="4"/>
      <c r="H8" s="21"/>
      <c r="I8" s="4"/>
    </row>
    <row r="9" spans="1:11" x14ac:dyDescent="0.25">
      <c r="A9">
        <v>1</v>
      </c>
      <c r="B9" t="s">
        <v>80</v>
      </c>
      <c r="C9" t="s">
        <v>17</v>
      </c>
      <c r="D9" s="22" t="s">
        <v>75</v>
      </c>
      <c r="E9" s="2">
        <v>46123</v>
      </c>
      <c r="F9" s="2"/>
      <c r="G9" s="2"/>
      <c r="H9" s="22" t="s">
        <v>14</v>
      </c>
      <c r="I9" s="11">
        <f>SUM(J9:K9)</f>
        <v>1</v>
      </c>
      <c r="J9" s="11">
        <v>0.5</v>
      </c>
      <c r="K9" s="11">
        <v>0.5</v>
      </c>
    </row>
    <row r="10" spans="1:11" x14ac:dyDescent="0.25">
      <c r="A10">
        <v>2</v>
      </c>
      <c r="B10" t="s">
        <v>68</v>
      </c>
      <c r="C10" t="s">
        <v>17</v>
      </c>
      <c r="D10" s="22" t="s">
        <v>37</v>
      </c>
      <c r="E10" s="2">
        <v>46123</v>
      </c>
      <c r="F10" s="2"/>
      <c r="G10" s="2"/>
      <c r="H10" s="22" t="s">
        <v>14</v>
      </c>
      <c r="I10" s="11">
        <f t="shared" ref="I10:I17" si="1">SUM(J10:K10)</f>
        <v>14</v>
      </c>
      <c r="J10" s="11">
        <v>7</v>
      </c>
      <c r="K10" s="11">
        <v>7</v>
      </c>
    </row>
    <row r="11" spans="1:11" x14ac:dyDescent="0.25">
      <c r="A11">
        <v>3</v>
      </c>
      <c r="B11" t="s">
        <v>80</v>
      </c>
      <c r="C11" t="s">
        <v>17</v>
      </c>
      <c r="D11" s="22" t="s">
        <v>37</v>
      </c>
      <c r="E11" s="2">
        <v>46123</v>
      </c>
      <c r="F11" s="2"/>
      <c r="G11" s="2"/>
      <c r="H11" s="22" t="s">
        <v>14</v>
      </c>
      <c r="I11" s="11">
        <f t="shared" si="1"/>
        <v>6.5</v>
      </c>
      <c r="J11" s="11">
        <v>3.25</v>
      </c>
      <c r="K11" s="11">
        <v>3.25</v>
      </c>
    </row>
    <row r="12" spans="1:11" x14ac:dyDescent="0.25">
      <c r="A12">
        <v>4</v>
      </c>
      <c r="B12" t="s">
        <v>69</v>
      </c>
      <c r="C12" t="s">
        <v>17</v>
      </c>
      <c r="D12" s="22" t="s">
        <v>37</v>
      </c>
      <c r="E12" s="2">
        <v>46123</v>
      </c>
      <c r="F12" s="2"/>
      <c r="G12" s="2"/>
      <c r="H12" s="22" t="s">
        <v>14</v>
      </c>
      <c r="I12" s="11">
        <f t="shared" si="1"/>
        <v>8</v>
      </c>
      <c r="J12" s="11">
        <v>4</v>
      </c>
      <c r="K12" s="11">
        <v>4</v>
      </c>
    </row>
    <row r="13" spans="1:11" x14ac:dyDescent="0.25">
      <c r="A13">
        <v>5</v>
      </c>
      <c r="B13" t="s">
        <v>70</v>
      </c>
      <c r="C13" t="s">
        <v>17</v>
      </c>
      <c r="D13" s="22" t="s">
        <v>37</v>
      </c>
      <c r="E13" s="2">
        <v>46123</v>
      </c>
      <c r="F13" s="2"/>
      <c r="G13" s="2"/>
      <c r="H13" s="22" t="s">
        <v>14</v>
      </c>
      <c r="I13" s="11">
        <f t="shared" si="1"/>
        <v>4.5</v>
      </c>
      <c r="J13" s="11">
        <v>2.25</v>
      </c>
      <c r="K13" s="11">
        <v>2.25</v>
      </c>
    </row>
    <row r="14" spans="1:11" x14ac:dyDescent="0.25">
      <c r="A14">
        <v>6</v>
      </c>
      <c r="B14" t="s">
        <v>79</v>
      </c>
      <c r="C14" t="s">
        <v>17</v>
      </c>
      <c r="D14" s="22" t="s">
        <v>37</v>
      </c>
      <c r="E14" s="2">
        <v>46123</v>
      </c>
      <c r="F14" s="2"/>
      <c r="G14" s="2"/>
      <c r="H14" s="22" t="s">
        <v>14</v>
      </c>
      <c r="I14" s="11">
        <f t="shared" si="1"/>
        <v>6.4</v>
      </c>
      <c r="J14" s="11">
        <v>3.2</v>
      </c>
      <c r="K14" s="11">
        <v>3.2</v>
      </c>
    </row>
    <row r="15" spans="1:11" x14ac:dyDescent="0.25">
      <c r="A15">
        <v>7</v>
      </c>
      <c r="B15" t="s">
        <v>71</v>
      </c>
      <c r="C15" t="s">
        <v>17</v>
      </c>
      <c r="D15" s="22" t="s">
        <v>37</v>
      </c>
      <c r="E15" s="2">
        <v>46123</v>
      </c>
      <c r="F15" s="2"/>
      <c r="G15" s="2"/>
      <c r="H15" s="22" t="s">
        <v>14</v>
      </c>
      <c r="I15" s="11">
        <f t="shared" si="1"/>
        <v>13.5</v>
      </c>
      <c r="J15" s="11">
        <v>6.75</v>
      </c>
      <c r="K15" s="11">
        <v>6.75</v>
      </c>
    </row>
    <row r="16" spans="1:11" x14ac:dyDescent="0.25">
      <c r="A16">
        <v>8</v>
      </c>
      <c r="B16" t="s">
        <v>77</v>
      </c>
      <c r="C16" t="s">
        <v>78</v>
      </c>
      <c r="D16" s="22" t="s">
        <v>37</v>
      </c>
      <c r="E16" s="2">
        <v>46123</v>
      </c>
      <c r="F16" s="2"/>
      <c r="G16" s="2"/>
      <c r="H16" s="22" t="s">
        <v>14</v>
      </c>
      <c r="I16" s="11">
        <f t="shared" si="1"/>
        <v>0</v>
      </c>
    </row>
    <row r="17" spans="1:11" x14ac:dyDescent="0.25">
      <c r="A17">
        <v>9</v>
      </c>
      <c r="B17" t="s">
        <v>98</v>
      </c>
      <c r="C17" t="s">
        <v>17</v>
      </c>
      <c r="D17" s="22" t="s">
        <v>38</v>
      </c>
      <c r="E17" s="2">
        <v>46123</v>
      </c>
      <c r="F17" s="2"/>
      <c r="G17" s="2"/>
      <c r="H17" s="22" t="s">
        <v>14</v>
      </c>
      <c r="I17" s="11">
        <f t="shared" si="1"/>
        <v>0</v>
      </c>
    </row>
    <row r="18" spans="1:11" x14ac:dyDescent="0.25">
      <c r="D18" s="22"/>
      <c r="E18" s="2"/>
      <c r="F18" s="2"/>
      <c r="G18" s="2"/>
      <c r="H18" s="22"/>
      <c r="I18" s="11"/>
    </row>
    <row r="19" spans="1:11" x14ac:dyDescent="0.25">
      <c r="D19" s="22"/>
      <c r="H19" s="22"/>
    </row>
    <row r="20" spans="1:11" ht="15.75" thickBot="1" x14ac:dyDescent="0.3">
      <c r="A20" s="10" t="s">
        <v>15</v>
      </c>
      <c r="B20" s="7"/>
      <c r="C20" s="7"/>
      <c r="D20" s="7"/>
      <c r="E20" s="7"/>
      <c r="F20" s="7"/>
      <c r="G20" s="7"/>
      <c r="H20" s="7"/>
      <c r="I20" s="12">
        <f>SUM(J20:K20)</f>
        <v>53.9</v>
      </c>
      <c r="J20" s="12">
        <f t="shared" ref="J20:K20" si="2">SUM(J8:J19)</f>
        <v>26.95</v>
      </c>
      <c r="K20" s="12">
        <f t="shared" si="2"/>
        <v>26.95</v>
      </c>
    </row>
    <row r="21" spans="1:11" ht="15.75" thickTop="1" x14ac:dyDescent="0.25">
      <c r="I21" s="11"/>
    </row>
    <row r="22" spans="1:11" x14ac:dyDescent="0.25">
      <c r="A22" s="1" t="s">
        <v>16</v>
      </c>
      <c r="I22" s="11"/>
    </row>
    <row r="23" spans="1:11" x14ac:dyDescent="0.25">
      <c r="B23" t="s">
        <v>17</v>
      </c>
      <c r="I23" s="11">
        <f>SUM(J23:K23)</f>
        <v>17.05</v>
      </c>
      <c r="J23" s="11">
        <v>9.0500000000000007</v>
      </c>
      <c r="K23" s="11">
        <v>8</v>
      </c>
    </row>
    <row r="24" spans="1:11" x14ac:dyDescent="0.25">
      <c r="B24" t="s">
        <v>18</v>
      </c>
      <c r="I24" s="11">
        <f>SUM(J24:K24)</f>
        <v>9.0500000000000007</v>
      </c>
      <c r="J24" s="11">
        <v>4</v>
      </c>
      <c r="K24" s="11">
        <v>5.05</v>
      </c>
    </row>
    <row r="25" spans="1:11" x14ac:dyDescent="0.25">
      <c r="B25" t="s">
        <v>19</v>
      </c>
      <c r="I25" s="11">
        <f>SUM(J25:J25)</f>
        <v>0</v>
      </c>
    </row>
    <row r="26" spans="1:11" x14ac:dyDescent="0.25">
      <c r="B26" t="s">
        <v>20</v>
      </c>
      <c r="I26" s="11">
        <f>SUM(J26:J26)</f>
        <v>0</v>
      </c>
    </row>
    <row r="27" spans="1:11" x14ac:dyDescent="0.25">
      <c r="B27" t="s">
        <v>21</v>
      </c>
      <c r="I27" s="11"/>
    </row>
    <row r="29" spans="1:11" ht="15.75" thickBot="1" x14ac:dyDescent="0.3">
      <c r="A29" s="10" t="s">
        <v>22</v>
      </c>
      <c r="B29" s="7"/>
      <c r="C29" s="7"/>
      <c r="D29" s="7"/>
      <c r="E29" s="7"/>
      <c r="F29" s="7"/>
      <c r="G29" s="7"/>
      <c r="H29" s="7"/>
      <c r="I29" s="12">
        <f t="shared" ref="I29" si="3">SUM(I23:I28)</f>
        <v>26.1</v>
      </c>
      <c r="J29" s="12">
        <f t="shared" ref="J29:K29" si="4">SUM(J23:J28)</f>
        <v>13.05</v>
      </c>
      <c r="K29" s="12">
        <f t="shared" si="4"/>
        <v>13.05</v>
      </c>
    </row>
    <row r="30" spans="1:11" ht="15.75" thickTop="1" x14ac:dyDescent="0.25">
      <c r="I30" s="11"/>
      <c r="J30" s="11"/>
    </row>
    <row r="31" spans="1:11" ht="15.75" thickBot="1" x14ac:dyDescent="0.3">
      <c r="A31" s="10" t="s">
        <v>23</v>
      </c>
      <c r="B31" s="7"/>
      <c r="C31" s="7"/>
      <c r="D31" s="7"/>
      <c r="E31" s="7"/>
      <c r="F31" s="7"/>
      <c r="G31" s="7"/>
      <c r="H31" s="7"/>
      <c r="I31" s="12">
        <f t="shared" ref="I31" si="5">+I29+I20</f>
        <v>80</v>
      </c>
      <c r="J31" s="12">
        <f t="shared" ref="J31:K31" si="6">+J29+J20</f>
        <v>40</v>
      </c>
      <c r="K31" s="12">
        <f t="shared" si="6"/>
        <v>40</v>
      </c>
    </row>
    <row r="32" spans="1:11" ht="15.75" thickTop="1" x14ac:dyDescent="0.25"/>
    <row r="34" spans="1:11" ht="15.75" thickBot="1" x14ac:dyDescent="0.3">
      <c r="A34" s="10" t="s">
        <v>24</v>
      </c>
      <c r="B34" s="7"/>
      <c r="C34" s="7"/>
      <c r="D34" s="7"/>
      <c r="E34" s="7"/>
      <c r="F34" s="7"/>
      <c r="G34" s="7"/>
      <c r="H34" s="7"/>
      <c r="I34" s="12"/>
      <c r="J34" s="12">
        <v>40</v>
      </c>
      <c r="K34" s="12">
        <v>40</v>
      </c>
    </row>
    <row r="35" spans="1:11" ht="16.5" thickTop="1" thickBot="1" x14ac:dyDescent="0.3">
      <c r="A35" s="10" t="s">
        <v>25</v>
      </c>
      <c r="B35" s="7"/>
      <c r="C35" s="7"/>
      <c r="D35" s="7"/>
      <c r="E35" s="7"/>
      <c r="F35" s="7"/>
      <c r="G35" s="7"/>
      <c r="H35" s="7"/>
      <c r="I35" s="12"/>
      <c r="J35" s="12">
        <f t="shared" ref="J35:K35" si="7">+J34-J31</f>
        <v>0</v>
      </c>
      <c r="K35" s="12">
        <f t="shared" si="7"/>
        <v>0</v>
      </c>
    </row>
    <row r="36" spans="1:11" ht="15.75" thickTop="1" x14ac:dyDescent="0.25"/>
  </sheetData>
  <protectedRanges>
    <protectedRange sqref="B19:C19 A9:A19 E19:I19 A27:I28 A23:H26 A8:I8 J23:XFD28 J8:XFD19 H9:I18" name="Range1"/>
    <protectedRange sqref="D9:D19" name="Range1_2"/>
    <protectedRange sqref="E9:G18" name="Range1_3"/>
    <protectedRange sqref="B12:B18" name="Range1_4"/>
    <protectedRange sqref="B9 B11" name="Range1_1_1"/>
    <protectedRange sqref="C9" name="Range1_1_2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BA8BDB-53D6-49C3-ABCC-E46D7EAA39F8}">
          <x14:formula1>
            <xm:f>Status!$B$15:$B$22</xm:f>
          </x14:formula1>
          <xm:sqref>H9:H19</xm:sqref>
        </x14:dataValidation>
        <x14:dataValidation type="list" allowBlank="1" showInputMessage="1" showErrorMessage="1" xr:uid="{477E9492-0757-4148-ABBB-6EC6E83F516C}">
          <x14:formula1>
            <xm:f>Status!$B$3:$B$11</xm:f>
          </x14:formula1>
          <xm:sqref>D9:D19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2"/>
  <sheetViews>
    <sheetView workbookViewId="0">
      <selection activeCell="C12" sqref="C12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0" t="s">
        <v>35</v>
      </c>
      <c r="C2" s="20" t="s">
        <v>40</v>
      </c>
    </row>
    <row r="3" spans="2:3" x14ac:dyDescent="0.25">
      <c r="B3" s="17" t="s">
        <v>36</v>
      </c>
      <c r="C3" s="18" t="s">
        <v>41</v>
      </c>
    </row>
    <row r="4" spans="2:3" x14ac:dyDescent="0.25">
      <c r="B4" s="17" t="s">
        <v>42</v>
      </c>
      <c r="C4" s="18" t="s">
        <v>43</v>
      </c>
    </row>
    <row r="5" spans="2:3" x14ac:dyDescent="0.25">
      <c r="B5" s="17" t="s">
        <v>44</v>
      </c>
      <c r="C5" s="18" t="s">
        <v>45</v>
      </c>
    </row>
    <row r="6" spans="2:3" x14ac:dyDescent="0.25">
      <c r="B6" s="17" t="s">
        <v>37</v>
      </c>
      <c r="C6" s="18" t="s">
        <v>46</v>
      </c>
    </row>
    <row r="7" spans="2:3" x14ac:dyDescent="0.25">
      <c r="B7" s="17" t="s">
        <v>75</v>
      </c>
      <c r="C7" s="18" t="s">
        <v>76</v>
      </c>
    </row>
    <row r="8" spans="2:3" x14ac:dyDescent="0.25">
      <c r="B8" s="17" t="s">
        <v>47</v>
      </c>
      <c r="C8" s="18" t="s">
        <v>48</v>
      </c>
    </row>
    <row r="9" spans="2:3" x14ac:dyDescent="0.25">
      <c r="B9" s="17" t="s">
        <v>38</v>
      </c>
      <c r="C9" s="18" t="s">
        <v>49</v>
      </c>
    </row>
    <row r="10" spans="2:3" x14ac:dyDescent="0.25">
      <c r="B10" s="17" t="s">
        <v>39</v>
      </c>
      <c r="C10" s="18" t="s">
        <v>50</v>
      </c>
    </row>
    <row r="11" spans="2:3" x14ac:dyDescent="0.25">
      <c r="B11" s="17" t="s">
        <v>51</v>
      </c>
      <c r="C11" s="18" t="s">
        <v>52</v>
      </c>
    </row>
    <row r="14" spans="2:3" ht="16.5" x14ac:dyDescent="0.25">
      <c r="B14" s="20" t="s">
        <v>53</v>
      </c>
      <c r="C14" s="20" t="s">
        <v>40</v>
      </c>
    </row>
    <row r="15" spans="2:3" x14ac:dyDescent="0.25">
      <c r="B15" s="19" t="s">
        <v>26</v>
      </c>
      <c r="C15" s="18" t="s">
        <v>54</v>
      </c>
    </row>
    <row r="16" spans="2:3" x14ac:dyDescent="0.25">
      <c r="B16" s="19" t="s">
        <v>55</v>
      </c>
      <c r="C16" s="18" t="s">
        <v>56</v>
      </c>
    </row>
    <row r="17" spans="2:3" x14ac:dyDescent="0.25">
      <c r="B17" s="19" t="s">
        <v>34</v>
      </c>
      <c r="C17" s="18" t="s">
        <v>57</v>
      </c>
    </row>
    <row r="18" spans="2:3" x14ac:dyDescent="0.25">
      <c r="B18" s="19" t="s">
        <v>14</v>
      </c>
      <c r="C18" s="18" t="s">
        <v>58</v>
      </c>
    </row>
    <row r="19" spans="2:3" x14ac:dyDescent="0.25">
      <c r="B19" s="19" t="s">
        <v>27</v>
      </c>
      <c r="C19" s="18" t="s">
        <v>59</v>
      </c>
    </row>
    <row r="20" spans="2:3" x14ac:dyDescent="0.25">
      <c r="B20" s="19" t="s">
        <v>28</v>
      </c>
      <c r="C20" s="18" t="s">
        <v>60</v>
      </c>
    </row>
    <row r="21" spans="2:3" x14ac:dyDescent="0.25">
      <c r="B21" s="19" t="s">
        <v>61</v>
      </c>
      <c r="C21" s="18" t="s">
        <v>62</v>
      </c>
    </row>
    <row r="22" spans="2:3" x14ac:dyDescent="0.25">
      <c r="B22" s="19" t="s">
        <v>33</v>
      </c>
      <c r="C22" s="18" t="s">
        <v>63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9" sqref="A9"/>
    </sheetView>
  </sheetViews>
  <sheetFormatPr defaultRowHeight="15" x14ac:dyDescent="0.25"/>
  <cols>
    <col min="1" max="1" width="124.28515625" bestFit="1" customWidth="1"/>
  </cols>
  <sheetData>
    <row r="1" spans="1:1" s="14" customFormat="1" ht="16.5" thickBot="1" x14ac:dyDescent="0.3">
      <c r="A1" s="16" t="s">
        <v>29</v>
      </c>
    </row>
    <row r="2" spans="1:1" s="14" customFormat="1" ht="15.75" x14ac:dyDescent="0.25">
      <c r="A2" s="15"/>
    </row>
    <row r="3" spans="1:1" s="14" customFormat="1" ht="15.75" x14ac:dyDescent="0.25">
      <c r="A3" s="13" t="s">
        <v>66</v>
      </c>
    </row>
    <row r="4" spans="1:1" s="14" customFormat="1" ht="15.75" x14ac:dyDescent="0.25">
      <c r="A4" s="15"/>
    </row>
    <row r="5" spans="1:1" s="14" customFormat="1" ht="15.75" x14ac:dyDescent="0.25">
      <c r="A5" s="15"/>
    </row>
    <row r="6" spans="1:1" s="14" customFormat="1" ht="15.75" x14ac:dyDescent="0.25">
      <c r="A6" s="15"/>
    </row>
    <row r="7" spans="1:1" ht="15.75" x14ac:dyDescent="0.25">
      <c r="A7" s="13" t="s">
        <v>30</v>
      </c>
    </row>
    <row r="8" spans="1:1" ht="15.75" x14ac:dyDescent="0.25">
      <c r="A8" s="13" t="s">
        <v>67</v>
      </c>
    </row>
    <row r="9" spans="1:1" ht="15.75" x14ac:dyDescent="0.25">
      <c r="A9" s="13" t="s">
        <v>65</v>
      </c>
    </row>
    <row r="10" spans="1:1" ht="15.75" x14ac:dyDescent="0.25">
      <c r="A10" s="13" t="s">
        <v>31</v>
      </c>
    </row>
    <row r="11" spans="1:1" ht="15.75" x14ac:dyDescent="0.25">
      <c r="A11" s="13" t="s">
        <v>32</v>
      </c>
    </row>
    <row r="12" spans="1:1" ht="15.75" x14ac:dyDescent="0.25">
      <c r="A12" s="13" t="s">
        <v>64</v>
      </c>
    </row>
    <row r="14" spans="1:1" x14ac:dyDescent="0.25">
      <c r="A14" s="23"/>
    </row>
    <row r="15" spans="1:1" x14ac:dyDescent="0.25">
      <c r="A15" s="23"/>
    </row>
    <row r="16" spans="1:1" x14ac:dyDescent="0.25">
      <c r="A16" s="2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6A2EC-B8C0-46B5-AEAC-6F731F3C5A72}">
  <dimension ref="A1:B31"/>
  <sheetViews>
    <sheetView workbookViewId="0">
      <selection activeCell="C8" sqref="C8"/>
    </sheetView>
  </sheetViews>
  <sheetFormatPr defaultRowHeight="15" x14ac:dyDescent="0.25"/>
  <cols>
    <col min="1" max="1" width="6" bestFit="1" customWidth="1"/>
    <col min="2" max="2" width="39.85546875" bestFit="1" customWidth="1"/>
  </cols>
  <sheetData>
    <row r="1" spans="1:2" x14ac:dyDescent="0.25">
      <c r="A1" s="24" t="s">
        <v>81</v>
      </c>
      <c r="B1" s="24" t="s">
        <v>6</v>
      </c>
    </row>
    <row r="2" spans="1:2" x14ac:dyDescent="0.25">
      <c r="A2" s="24">
        <v>1</v>
      </c>
      <c r="B2" s="25" t="s">
        <v>82</v>
      </c>
    </row>
    <row r="3" spans="1:2" x14ac:dyDescent="0.25">
      <c r="A3" s="24">
        <v>2</v>
      </c>
      <c r="B3" s="25" t="s">
        <v>83</v>
      </c>
    </row>
    <row r="4" spans="1:2" x14ac:dyDescent="0.25">
      <c r="A4" s="24">
        <v>3</v>
      </c>
      <c r="B4" s="25" t="s">
        <v>84</v>
      </c>
    </row>
    <row r="5" spans="1:2" x14ac:dyDescent="0.25">
      <c r="A5" s="24">
        <v>4</v>
      </c>
      <c r="B5" s="25" t="s">
        <v>85</v>
      </c>
    </row>
    <row r="6" spans="1:2" x14ac:dyDescent="0.25">
      <c r="A6" s="24">
        <v>5</v>
      </c>
      <c r="B6" s="25" t="s">
        <v>86</v>
      </c>
    </row>
    <row r="7" spans="1:2" x14ac:dyDescent="0.25">
      <c r="A7" s="24">
        <v>6</v>
      </c>
      <c r="B7" s="25" t="s">
        <v>79</v>
      </c>
    </row>
    <row r="8" spans="1:2" x14ac:dyDescent="0.25">
      <c r="A8" s="24">
        <v>7</v>
      </c>
      <c r="B8" s="25" t="s">
        <v>77</v>
      </c>
    </row>
    <row r="9" spans="1:2" x14ac:dyDescent="0.25">
      <c r="A9" s="24">
        <v>8</v>
      </c>
      <c r="B9" s="25" t="s">
        <v>68</v>
      </c>
    </row>
    <row r="10" spans="1:2" x14ac:dyDescent="0.25">
      <c r="A10" s="24">
        <v>9</v>
      </c>
      <c r="B10" s="25" t="s">
        <v>87</v>
      </c>
    </row>
    <row r="11" spans="1:2" x14ac:dyDescent="0.25">
      <c r="A11" s="24">
        <v>10</v>
      </c>
      <c r="B11" s="25" t="s">
        <v>88</v>
      </c>
    </row>
    <row r="12" spans="1:2" x14ac:dyDescent="0.25">
      <c r="A12" s="24">
        <v>11</v>
      </c>
      <c r="B12" s="25" t="s">
        <v>89</v>
      </c>
    </row>
    <row r="13" spans="1:2" x14ac:dyDescent="0.25">
      <c r="A13" s="24">
        <v>12</v>
      </c>
      <c r="B13" s="25" t="s">
        <v>71</v>
      </c>
    </row>
    <row r="14" spans="1:2" x14ac:dyDescent="0.25">
      <c r="A14" s="24">
        <v>13</v>
      </c>
      <c r="B14" s="25" t="s">
        <v>90</v>
      </c>
    </row>
    <row r="15" spans="1:2" x14ac:dyDescent="0.25">
      <c r="A15" s="24">
        <v>14</v>
      </c>
      <c r="B15" s="25" t="s">
        <v>91</v>
      </c>
    </row>
    <row r="16" spans="1:2" x14ac:dyDescent="0.25">
      <c r="A16" s="24">
        <v>15</v>
      </c>
      <c r="B16" s="25" t="s">
        <v>92</v>
      </c>
    </row>
    <row r="17" spans="1:2" x14ac:dyDescent="0.25">
      <c r="A17" s="24">
        <v>16</v>
      </c>
      <c r="B17" s="25" t="s">
        <v>93</v>
      </c>
    </row>
    <row r="18" spans="1:2" x14ac:dyDescent="0.25">
      <c r="A18" s="24">
        <v>17</v>
      </c>
      <c r="B18" s="25" t="s">
        <v>94</v>
      </c>
    </row>
    <row r="19" spans="1:2" x14ac:dyDescent="0.25">
      <c r="A19" s="24">
        <v>18</v>
      </c>
      <c r="B19" s="25" t="s">
        <v>95</v>
      </c>
    </row>
    <row r="20" spans="1:2" x14ac:dyDescent="0.25">
      <c r="A20" s="24">
        <v>19</v>
      </c>
      <c r="B20" s="25" t="s">
        <v>80</v>
      </c>
    </row>
    <row r="21" spans="1:2" x14ac:dyDescent="0.25">
      <c r="A21" s="24">
        <v>20</v>
      </c>
      <c r="B21" s="25" t="s">
        <v>96</v>
      </c>
    </row>
    <row r="22" spans="1:2" x14ac:dyDescent="0.25">
      <c r="A22" s="24">
        <v>21</v>
      </c>
      <c r="B22" s="25" t="s">
        <v>97</v>
      </c>
    </row>
    <row r="23" spans="1:2" x14ac:dyDescent="0.25">
      <c r="A23" s="24">
        <v>22</v>
      </c>
      <c r="B23" s="25" t="s">
        <v>98</v>
      </c>
    </row>
    <row r="24" spans="1:2" x14ac:dyDescent="0.25">
      <c r="A24" s="24">
        <v>23</v>
      </c>
      <c r="B24" s="25" t="s">
        <v>69</v>
      </c>
    </row>
    <row r="25" spans="1:2" x14ac:dyDescent="0.25">
      <c r="A25" s="24">
        <v>24</v>
      </c>
      <c r="B25" s="25" t="s">
        <v>70</v>
      </c>
    </row>
    <row r="26" spans="1:2" x14ac:dyDescent="0.25">
      <c r="A26" s="24">
        <v>25</v>
      </c>
      <c r="B26" s="25" t="s">
        <v>99</v>
      </c>
    </row>
    <row r="27" spans="1:2" x14ac:dyDescent="0.25">
      <c r="A27" s="24">
        <v>26</v>
      </c>
      <c r="B27" s="25" t="s">
        <v>100</v>
      </c>
    </row>
    <row r="28" spans="1:2" x14ac:dyDescent="0.25">
      <c r="A28" s="24">
        <v>27</v>
      </c>
      <c r="B28" s="25" t="s">
        <v>101</v>
      </c>
    </row>
    <row r="29" spans="1:2" x14ac:dyDescent="0.25">
      <c r="A29" s="24">
        <v>28</v>
      </c>
      <c r="B29" s="25" t="s">
        <v>102</v>
      </c>
    </row>
    <row r="30" spans="1:2" x14ac:dyDescent="0.25">
      <c r="A30" s="24">
        <v>29</v>
      </c>
      <c r="B30" s="25" t="s">
        <v>103</v>
      </c>
    </row>
    <row r="31" spans="1:2" x14ac:dyDescent="0.25">
      <c r="A31" s="24">
        <v>30</v>
      </c>
      <c r="B31" s="25" t="s">
        <v>104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WIP</vt:lpstr>
      <vt:lpstr>Status</vt:lpstr>
      <vt:lpstr>Instruction</vt:lpstr>
      <vt:lpstr>Client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Jainam Appa</cp:lastModifiedBy>
  <cp:revision/>
  <dcterms:created xsi:type="dcterms:W3CDTF">2015-06-05T18:17:20Z</dcterms:created>
  <dcterms:modified xsi:type="dcterms:W3CDTF">2026-05-01T11:22:51Z</dcterms:modified>
  <cp:category/>
  <cp:contentStatus/>
</cp:coreProperties>
</file>