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Pragnesh Soni\"/>
    </mc:Choice>
  </mc:AlternateContent>
  <xr:revisionPtr revIDLastSave="0" documentId="13_ncr:1_{35D87842-9156-44DB-8EDE-83F731398B8B}" xr6:coauthVersionLast="47" xr6:coauthVersionMax="47" xr10:uidLastSave="{00000000-0000-0000-0000-000000000000}"/>
  <bookViews>
    <workbookView xWindow="20370" yWindow="-120" windowWidth="20730" windowHeight="11040" xr2:uid="{B02487C1-7B00-46FB-9FD9-7E848764AF91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38" i="1"/>
  <c r="I36" i="1"/>
  <c r="I37" i="1"/>
  <c r="I27" i="1"/>
  <c r="I21" i="1"/>
  <c r="I10" i="1"/>
  <c r="M52" i="1"/>
  <c r="N52" i="1"/>
  <c r="I12" i="1" l="1"/>
  <c r="I35" i="1"/>
  <c r="I34" i="1"/>
  <c r="I33" i="1"/>
  <c r="I32" i="1"/>
  <c r="I31" i="1"/>
  <c r="I30" i="1"/>
  <c r="I29" i="1"/>
  <c r="I28" i="1"/>
  <c r="I26" i="1"/>
  <c r="I25" i="1"/>
  <c r="I24" i="1"/>
  <c r="I50" i="1" l="1"/>
  <c r="I13" i="1"/>
  <c r="I14" i="1"/>
  <c r="I15" i="1"/>
  <c r="I16" i="1"/>
  <c r="I17" i="1"/>
  <c r="I18" i="1"/>
  <c r="I19" i="1"/>
  <c r="I20" i="1"/>
  <c r="I22" i="1"/>
  <c r="I49" i="1"/>
  <c r="I48" i="1"/>
  <c r="I47" i="1"/>
  <c r="I46" i="1"/>
  <c r="I52" i="1" l="1"/>
  <c r="I9" i="1"/>
  <c r="I11" i="1"/>
  <c r="J43" i="1"/>
  <c r="J52" i="1"/>
  <c r="I43" i="1" l="1"/>
  <c r="N43" i="1"/>
  <c r="N54" i="1" s="1"/>
  <c r="N58" i="1" s="1"/>
  <c r="M43" i="1"/>
  <c r="L43" i="1"/>
  <c r="K43" i="1"/>
  <c r="L52" i="1"/>
  <c r="K52" i="1"/>
  <c r="K6" i="1"/>
  <c r="L6" i="1" s="1"/>
  <c r="M6" i="1" s="1"/>
  <c r="M54" i="1" l="1"/>
  <c r="M58" i="1" s="1"/>
  <c r="J54" i="1"/>
  <c r="J58" i="1" s="1"/>
  <c r="K54" i="1"/>
  <c r="K58" i="1" s="1"/>
  <c r="L54" i="1"/>
  <c r="L58" i="1" s="1"/>
  <c r="I54" i="1"/>
</calcChain>
</file>

<file path=xl/sharedStrings.xml><?xml version="1.0" encoding="utf-8"?>
<sst xmlns="http://schemas.openxmlformats.org/spreadsheetml/2006/main" count="201" uniqueCount="109">
  <si>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</si>
  <si>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</si>
  <si>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</si>
  <si>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</si>
  <si>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</si>
  <si>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</si>
  <si>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</si>
  <si>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</si>
  <si>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</si>
  <si>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</si>
  <si>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</si>
  <si>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</si>
  <si>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</si>
  <si>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</si>
  <si>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</si>
  <si>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</si>
  <si>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</si>
  <si>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</si>
  <si>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</si>
  <si>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</si>
  <si>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</si>
  <si>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</si>
  <si>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</si>
  <si>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</si>
  <si>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</si>
  <si>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</si>
  <si>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</si>
  <si>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</si>
  <si>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</si>
  <si>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</si>
  <si>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</si>
  <si>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</si>
  <si>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</si>
  <si>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</si>
  <si>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</si>
  <si>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</si>
  <si>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</si>
  <si>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</si>
  <si>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</si>
  <si>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</si>
  <si>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</si>
  <si>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</si>
  <si>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</si>
  <si>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</si>
  <si>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</si>
  <si>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</si>
  <si>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</si>
  <si>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</si>
  <si>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</si>
  <si>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</si>
  <si>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</si>
  <si>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</si>
  <si>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</si>
  <si>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</si>
  <si>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</si>
  <si>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</si>
  <si>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</si>
  <si>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</si>
  <si>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</si>
  <si>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</si>
  <si>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</si>
  <si>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</si>
  <si>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</si>
  <si>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</si>
  <si>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</si>
  <si>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</si>
  <si>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</si>
  <si>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</si>
  <si>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</si>
  <si>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</si>
  <si>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</si>
  <si>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</si>
  <si>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</si>
  <si>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Call with client</t>
  </si>
  <si>
    <t>Jayraj Dasadiya</t>
  </si>
  <si>
    <t>Bill's Autoglass, LLC</t>
  </si>
  <si>
    <t>Helthe U Café</t>
  </si>
  <si>
    <t>Invica LLC</t>
  </si>
  <si>
    <t>Headlock Construction LLC</t>
  </si>
  <si>
    <t>East to West Solar LLC</t>
  </si>
  <si>
    <t>Diru Development LLC</t>
  </si>
  <si>
    <t>Christinas Criollo, LLC</t>
  </si>
  <si>
    <t>Blaze Yoga Lancaster LLC</t>
  </si>
  <si>
    <t>Old School House Day Care Centre Inc</t>
  </si>
  <si>
    <t>The Hodges Veterinary Group LLC</t>
  </si>
  <si>
    <t>Tatiana's Restaurant LLC</t>
  </si>
  <si>
    <t>Portuguese American Club</t>
  </si>
  <si>
    <t>Performance Team LLC</t>
  </si>
  <si>
    <t>Perfeqta</t>
  </si>
  <si>
    <t>Vandegrift, Brian K &amp; Angeliki</t>
  </si>
  <si>
    <t>Vigis Parties LLC</t>
  </si>
  <si>
    <t>Tree Services by Carl Harper</t>
  </si>
  <si>
    <t>Pragneshkumar Soni</t>
  </si>
  <si>
    <t>Staff</t>
  </si>
  <si>
    <t>Payroll Clients</t>
  </si>
  <si>
    <t>Shooters Crossing Inc</t>
  </si>
  <si>
    <t>Gift CPAs, LLC</t>
  </si>
  <si>
    <t>Future</t>
  </si>
  <si>
    <t>Accu Mold &amp; Tool Company Inc</t>
  </si>
  <si>
    <t>Admin - General</t>
  </si>
  <si>
    <t>Ali Enterprises</t>
  </si>
  <si>
    <t>M.GoodMan Electric LLC</t>
  </si>
  <si>
    <t>Walnut Bottom Diner</t>
  </si>
  <si>
    <t>Witman Auctioneers Inc.</t>
  </si>
  <si>
    <t>AJ's Hauling LLC</t>
  </si>
  <si>
    <t>Manja Inc</t>
  </si>
  <si>
    <t>Park Dentistry LLC</t>
  </si>
  <si>
    <t>Sweet Confections Cakes Inc</t>
  </si>
  <si>
    <t>Martin Communications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</si>
</sst>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topLeftCell="B1" zoomScaleNormal="100" workbookViewId="0">
      <pane ySplit="7" topLeftCell="A8" activePane="bottomLeft" state="frozen"/>
      <selection pane="bottomLeft" activeCell="J9" sqref="J9"/>
    </sheetView>
  </sheetViews>
  <sheetFormatPr defaultRowHeight="15" x14ac:dyDescent="0.25"/>
  <cols>
    <col min="1" max="1" width="23.42578125" customWidth="1"/>
    <col min="2" max="2" width="19.28515625" bestFit="1" customWidth="1"/>
    <col min="3" max="3" width="34.7109375" bestFit="1" customWidth="1"/>
    <col min="4" max="4" width="25.14062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0" width="10.7109375" bestFit="1" customWidth="1"/>
    <col min="11" max="13" width="10.7109375" customWidth="1"/>
    <col min="14" max="14" width="10.7109375" bestFit="1" customWidth="1"/>
  </cols>
  <sheetData>
    <row r="1" spans="1:14" x14ac:dyDescent="0.25">
      <c r="A1" s="1" t="s">
        <v>0</v>
      </c>
      <c r="H1" s="11"/>
    </row>
    <row r="2" spans="1:14" x14ac:dyDescent="0.25">
      <c r="A2" s="1" t="s">
        <v>1</v>
      </c>
      <c r="B2" s="25" t="s">
        <v>74</v>
      </c>
      <c r="C2" s="9"/>
      <c r="H2" s="1"/>
      <c r="I2" s="1"/>
      <c r="J2" s="10"/>
      <c r="K2" s="10"/>
      <c r="L2" s="10"/>
      <c r="M2" s="10"/>
    </row>
    <row r="3" spans="1:14" x14ac:dyDescent="0.25">
      <c r="A3" s="1" t="s">
        <v>2</v>
      </c>
      <c r="B3" s="25" t="s">
        <v>93</v>
      </c>
      <c r="C3" s="9"/>
      <c r="H3" s="1"/>
      <c r="I3" s="1"/>
      <c r="J3" s="10"/>
      <c r="K3" s="10"/>
      <c r="L3" s="10"/>
      <c r="M3" s="10"/>
    </row>
    <row r="4" spans="1:14" x14ac:dyDescent="0.25">
      <c r="A4" s="1" t="s">
        <v>3</v>
      </c>
      <c r="B4" s="25" t="s">
        <v>92</v>
      </c>
      <c r="C4" s="9"/>
      <c r="H4" s="1"/>
      <c r="I4" s="1"/>
      <c r="J4" s="10"/>
      <c r="K4" s="10"/>
      <c r="L4" s="10"/>
      <c r="M4" s="10"/>
    </row>
    <row r="5" spans="1:14" x14ac:dyDescent="0.25">
      <c r="A5" s="1"/>
      <c r="B5" s="9"/>
      <c r="C5" s="9"/>
    </row>
    <row r="6" spans="1:14" x14ac:dyDescent="0.25">
      <c r="I6" s="7" t="s">
        <v>4</v>
      </c>
      <c r="J6" s="24">
        <v>46146</v>
      </c>
      <c r="K6" s="2">
        <f>J6+7</f>
        <v>46153</v>
      </c>
      <c r="L6" s="2">
        <f>K6+7</f>
        <v>46160</v>
      </c>
      <c r="M6" s="2">
        <f>L6+7</f>
        <v>46167</v>
      </c>
      <c r="N6" s="2" t="s">
        <v>97</v>
      </c>
    </row>
    <row r="7" spans="1:14" ht="30" x14ac:dyDescent="0.25">
      <c r="A7" s="3" t="s">
        <v>5</v>
      </c>
      <c r="B7" s="3" t="s">
        <v>6</v>
      </c>
      <c r="C7" s="3" t="s">
        <v>7</v>
      </c>
      <c r="D7" s="3" t="s">
        <v>39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97</v>
      </c>
    </row>
    <row r="8" spans="1:14" x14ac:dyDescent="0.25">
      <c r="A8" s="6" t="s">
        <v>17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</row>
    <row r="9" spans="1:14" x14ac:dyDescent="0.25">
      <c r="A9">
        <v>1</v>
      </c>
      <c r="B9" t="s">
        <v>96</v>
      </c>
      <c r="C9" s="26" t="s">
        <v>98</v>
      </c>
      <c r="D9" t="s">
        <v>41</v>
      </c>
      <c r="E9" s="2">
        <v>46143</v>
      </c>
      <c r="F9" s="2">
        <v>46173</v>
      </c>
      <c r="G9" s="2"/>
      <c r="H9" t="s">
        <v>30</v>
      </c>
      <c r="I9" s="13">
        <f t="shared" ref="I9:I37" si="0">SUM(J9:N9)</f>
        <v>2</v>
      </c>
      <c r="J9" s="13">
        <v>2</v>
      </c>
      <c r="K9" s="13"/>
      <c r="L9" s="13"/>
      <c r="M9" s="13"/>
      <c r="N9" s="13"/>
    </row>
    <row r="10" spans="1:14" x14ac:dyDescent="0.25">
      <c r="A10">
        <v>2</v>
      </c>
      <c r="B10" t="s">
        <v>96</v>
      </c>
      <c r="C10" s="27" t="s">
        <v>99</v>
      </c>
      <c r="D10" t="s">
        <v>41</v>
      </c>
      <c r="E10" s="2">
        <v>46143</v>
      </c>
      <c r="F10" s="2">
        <v>46173</v>
      </c>
      <c r="G10" s="2"/>
      <c r="H10" t="s">
        <v>30</v>
      </c>
      <c r="I10" s="13">
        <f t="shared" ref="I10" si="1">SUM(J10:N10)</f>
        <v>8</v>
      </c>
      <c r="J10" s="13">
        <v>2</v>
      </c>
      <c r="K10" s="13">
        <v>2</v>
      </c>
      <c r="L10" s="13">
        <v>2</v>
      </c>
      <c r="M10" s="13">
        <v>2</v>
      </c>
      <c r="N10" s="13"/>
    </row>
    <row r="11" spans="1:14" x14ac:dyDescent="0.25">
      <c r="A11">
        <v>3</v>
      </c>
      <c r="B11" t="s">
        <v>96</v>
      </c>
      <c r="C11" s="26" t="s">
        <v>104</v>
      </c>
      <c r="D11" t="s">
        <v>41</v>
      </c>
      <c r="E11" s="2">
        <v>46143</v>
      </c>
      <c r="F11" s="2">
        <v>46173</v>
      </c>
      <c r="G11" s="2"/>
      <c r="H11" t="s">
        <v>30</v>
      </c>
      <c r="I11" s="13">
        <f t="shared" si="0"/>
        <v>8</v>
      </c>
      <c r="J11" s="13"/>
      <c r="K11" s="13"/>
      <c r="L11" s="13"/>
      <c r="M11" s="13">
        <v>8</v>
      </c>
      <c r="N11" s="13"/>
    </row>
    <row r="12" spans="1:14" x14ac:dyDescent="0.25">
      <c r="A12">
        <v>4</v>
      </c>
      <c r="B12" t="s">
        <v>96</v>
      </c>
      <c r="C12" s="26" t="s">
        <v>100</v>
      </c>
      <c r="D12" t="s">
        <v>41</v>
      </c>
      <c r="E12" s="2">
        <v>46143</v>
      </c>
      <c r="F12" s="2">
        <v>46173</v>
      </c>
      <c r="G12" s="2"/>
      <c r="H12" t="s">
        <v>30</v>
      </c>
      <c r="I12" s="13">
        <f t="shared" si="0"/>
        <v>3</v>
      </c>
      <c r="J12" s="13">
        <v>3</v>
      </c>
      <c r="K12" s="13"/>
      <c r="L12" s="13"/>
      <c r="M12" s="13"/>
      <c r="N12" s="13"/>
    </row>
    <row r="13" spans="1:14" x14ac:dyDescent="0.25">
      <c r="A13">
        <v>5</v>
      </c>
      <c r="B13" t="s">
        <v>96</v>
      </c>
      <c r="C13" s="26" t="s">
        <v>75</v>
      </c>
      <c r="D13" t="s">
        <v>41</v>
      </c>
      <c r="E13" s="2">
        <v>46143</v>
      </c>
      <c r="F13" s="2">
        <v>46173</v>
      </c>
      <c r="G13" s="2"/>
      <c r="H13" t="s">
        <v>30</v>
      </c>
      <c r="I13" s="13">
        <f t="shared" si="0"/>
        <v>1</v>
      </c>
      <c r="J13" s="13">
        <v>1</v>
      </c>
      <c r="K13" s="13"/>
      <c r="L13" s="13"/>
      <c r="M13" s="13"/>
      <c r="N13" s="13"/>
    </row>
    <row r="14" spans="1:14" x14ac:dyDescent="0.25">
      <c r="A14">
        <v>6</v>
      </c>
      <c r="B14" t="s">
        <v>96</v>
      </c>
      <c r="C14" s="26" t="s">
        <v>82</v>
      </c>
      <c r="D14" t="s">
        <v>41</v>
      </c>
      <c r="E14" s="2">
        <v>46143</v>
      </c>
      <c r="F14" s="2">
        <v>46173</v>
      </c>
      <c r="G14" s="2"/>
      <c r="H14" t="s">
        <v>30</v>
      </c>
      <c r="I14" s="13">
        <f t="shared" si="0"/>
        <v>2</v>
      </c>
      <c r="J14" s="13">
        <v>2</v>
      </c>
      <c r="K14" s="13"/>
      <c r="L14" s="13"/>
      <c r="M14" s="13"/>
      <c r="N14" s="13"/>
    </row>
    <row r="15" spans="1:14" x14ac:dyDescent="0.25">
      <c r="A15">
        <v>7</v>
      </c>
      <c r="B15" t="s">
        <v>96</v>
      </c>
      <c r="C15" s="26" t="s">
        <v>81</v>
      </c>
      <c r="D15" t="s">
        <v>41</v>
      </c>
      <c r="E15" s="2">
        <v>46143</v>
      </c>
      <c r="F15" s="2">
        <v>46173</v>
      </c>
      <c r="G15" s="2"/>
      <c r="H15" t="s">
        <v>30</v>
      </c>
      <c r="I15" s="13">
        <f t="shared" si="0"/>
        <v>1.5</v>
      </c>
      <c r="J15" s="13"/>
      <c r="K15" s="13">
        <v>1.5</v>
      </c>
      <c r="L15" s="13"/>
      <c r="M15" s="13"/>
      <c r="N15" s="13"/>
    </row>
    <row r="16" spans="1:14" x14ac:dyDescent="0.25">
      <c r="A16">
        <v>8</v>
      </c>
      <c r="B16" t="s">
        <v>96</v>
      </c>
      <c r="C16" s="26" t="s">
        <v>80</v>
      </c>
      <c r="D16" t="s">
        <v>41</v>
      </c>
      <c r="E16" s="2">
        <v>46143</v>
      </c>
      <c r="F16" s="2">
        <v>46173</v>
      </c>
      <c r="G16" s="2"/>
      <c r="H16" t="s">
        <v>30</v>
      </c>
      <c r="I16" s="13">
        <f t="shared" si="0"/>
        <v>5</v>
      </c>
      <c r="J16" s="13"/>
      <c r="K16" s="13">
        <v>5</v>
      </c>
      <c r="L16" s="13"/>
      <c r="M16" s="13"/>
      <c r="N16" s="13"/>
    </row>
    <row r="17" spans="1:14" x14ac:dyDescent="0.25">
      <c r="A17">
        <v>9</v>
      </c>
      <c r="B17" t="s">
        <v>96</v>
      </c>
      <c r="C17" s="26" t="s">
        <v>79</v>
      </c>
      <c r="D17" t="s">
        <v>41</v>
      </c>
      <c r="E17" s="2">
        <v>46143</v>
      </c>
      <c r="F17" s="2">
        <v>46173</v>
      </c>
      <c r="G17" s="2"/>
      <c r="H17" t="s">
        <v>30</v>
      </c>
      <c r="I17" s="13">
        <f t="shared" si="0"/>
        <v>8</v>
      </c>
      <c r="J17" s="13"/>
      <c r="K17" s="13">
        <v>8</v>
      </c>
      <c r="L17" s="13"/>
      <c r="M17" s="13"/>
      <c r="N17" s="13"/>
    </row>
    <row r="18" spans="1:14" x14ac:dyDescent="0.25">
      <c r="A18">
        <v>10</v>
      </c>
      <c r="B18" t="s">
        <v>96</v>
      </c>
      <c r="C18" s="26" t="s">
        <v>78</v>
      </c>
      <c r="D18" t="s">
        <v>41</v>
      </c>
      <c r="E18" s="2">
        <v>46143</v>
      </c>
      <c r="F18" s="2">
        <v>46173</v>
      </c>
      <c r="G18" s="2"/>
      <c r="H18" t="s">
        <v>30</v>
      </c>
      <c r="I18" s="13">
        <f t="shared" si="0"/>
        <v>3</v>
      </c>
      <c r="J18" s="13">
        <v>3</v>
      </c>
      <c r="K18" s="13"/>
      <c r="L18" s="13"/>
      <c r="M18" s="13"/>
      <c r="N18" s="13"/>
    </row>
    <row r="19" spans="1:14" x14ac:dyDescent="0.25">
      <c r="A19">
        <v>11</v>
      </c>
      <c r="B19" t="s">
        <v>96</v>
      </c>
      <c r="C19" s="26" t="s">
        <v>76</v>
      </c>
      <c r="D19" t="s">
        <v>41</v>
      </c>
      <c r="E19" s="2">
        <v>46143</v>
      </c>
      <c r="F19" s="2">
        <v>46173</v>
      </c>
      <c r="G19" s="2"/>
      <c r="H19" t="s">
        <v>30</v>
      </c>
      <c r="I19" s="13">
        <f t="shared" si="0"/>
        <v>2.5</v>
      </c>
      <c r="J19" s="13">
        <v>2.5</v>
      </c>
      <c r="K19" s="13"/>
      <c r="L19" s="13"/>
      <c r="M19" s="13"/>
      <c r="N19" s="13"/>
    </row>
    <row r="20" spans="1:14" x14ac:dyDescent="0.25">
      <c r="A20">
        <v>12</v>
      </c>
      <c r="B20" t="s">
        <v>96</v>
      </c>
      <c r="C20" s="26" t="s">
        <v>77</v>
      </c>
      <c r="D20" t="s">
        <v>41</v>
      </c>
      <c r="E20" s="2">
        <v>46143</v>
      </c>
      <c r="F20" s="2">
        <v>46173</v>
      </c>
      <c r="G20" s="2"/>
      <c r="H20" t="s">
        <v>30</v>
      </c>
      <c r="I20" s="13">
        <f t="shared" si="0"/>
        <v>2.5</v>
      </c>
      <c r="J20" s="13">
        <v>2.5</v>
      </c>
      <c r="K20" s="13"/>
      <c r="L20" s="13"/>
      <c r="M20" s="13"/>
      <c r="N20" s="13"/>
    </row>
    <row r="21" spans="1:14" x14ac:dyDescent="0.25">
      <c r="A21">
        <v>13</v>
      </c>
      <c r="B21" t="s">
        <v>96</v>
      </c>
      <c r="C21" s="26" t="s">
        <v>101</v>
      </c>
      <c r="D21" t="s">
        <v>41</v>
      </c>
      <c r="E21" s="2">
        <v>46143</v>
      </c>
      <c r="F21" s="2">
        <v>46173</v>
      </c>
      <c r="G21" s="2"/>
      <c r="H21" t="s">
        <v>30</v>
      </c>
      <c r="I21" s="13">
        <f t="shared" ref="I21" si="2">SUM(J21:N21)</f>
        <v>1</v>
      </c>
      <c r="J21" s="13">
        <v>1</v>
      </c>
      <c r="K21" s="13"/>
      <c r="L21" s="13"/>
      <c r="M21" s="13"/>
      <c r="N21" s="13"/>
    </row>
    <row r="22" spans="1:14" x14ac:dyDescent="0.25">
      <c r="A22">
        <v>14</v>
      </c>
      <c r="B22" t="s">
        <v>96</v>
      </c>
      <c r="C22" s="26" t="s">
        <v>105</v>
      </c>
      <c r="D22" t="s">
        <v>41</v>
      </c>
      <c r="E22" s="2">
        <v>46143</v>
      </c>
      <c r="F22" s="2">
        <v>46173</v>
      </c>
      <c r="G22" s="2"/>
      <c r="H22" t="s">
        <v>30</v>
      </c>
      <c r="I22" s="13">
        <f t="shared" si="0"/>
        <v>7.5</v>
      </c>
      <c r="J22" s="13"/>
      <c r="K22" s="13">
        <v>7.5</v>
      </c>
      <c r="L22" s="13"/>
      <c r="M22" s="13"/>
      <c r="N22" s="13"/>
    </row>
    <row r="23" spans="1:14" x14ac:dyDescent="0.25">
      <c r="A23">
        <v>15</v>
      </c>
      <c r="B23" t="s">
        <v>96</v>
      </c>
      <c r="C23" s="26" t="s">
        <v>108</v>
      </c>
      <c r="D23" t="s">
        <v>41</v>
      </c>
      <c r="E23" s="2">
        <v>46143</v>
      </c>
      <c r="F23" s="2">
        <v>46173</v>
      </c>
      <c r="G23" s="2"/>
      <c r="H23" t="s">
        <v>30</v>
      </c>
      <c r="I23" s="13">
        <f t="shared" si="0"/>
        <v>8</v>
      </c>
      <c r="J23" s="13"/>
      <c r="K23" s="13"/>
      <c r="L23" s="13"/>
      <c r="M23" s="13">
        <v>8</v>
      </c>
      <c r="N23" s="13"/>
    </row>
    <row r="24" spans="1:14" x14ac:dyDescent="0.25">
      <c r="A24">
        <v>16</v>
      </c>
      <c r="B24" t="s">
        <v>96</v>
      </c>
      <c r="C24" s="26" t="s">
        <v>83</v>
      </c>
      <c r="D24" t="s">
        <v>41</v>
      </c>
      <c r="E24" s="2">
        <v>46143</v>
      </c>
      <c r="F24" s="2">
        <v>46173</v>
      </c>
      <c r="H24" t="s">
        <v>30</v>
      </c>
      <c r="I24" s="13">
        <f t="shared" si="0"/>
        <v>2</v>
      </c>
      <c r="J24" s="13"/>
      <c r="K24" s="13">
        <v>2</v>
      </c>
      <c r="L24" s="13"/>
      <c r="M24" s="13"/>
      <c r="N24" s="13"/>
    </row>
    <row r="25" spans="1:14" x14ac:dyDescent="0.25">
      <c r="A25">
        <v>17</v>
      </c>
      <c r="B25" t="s">
        <v>96</v>
      </c>
      <c r="C25" s="26" t="s">
        <v>106</v>
      </c>
      <c r="D25" t="s">
        <v>41</v>
      </c>
      <c r="E25" s="2">
        <v>46143</v>
      </c>
      <c r="F25" s="2">
        <v>46173</v>
      </c>
      <c r="H25" t="s">
        <v>30</v>
      </c>
      <c r="I25" s="13">
        <f t="shared" si="0"/>
        <v>8</v>
      </c>
      <c r="J25" s="13"/>
      <c r="K25" s="13"/>
      <c r="L25" s="13">
        <v>8</v>
      </c>
      <c r="M25" s="13"/>
      <c r="N25" s="13"/>
    </row>
    <row r="26" spans="1:14" x14ac:dyDescent="0.25">
      <c r="A26">
        <v>18</v>
      </c>
      <c r="B26" t="s">
        <v>96</v>
      </c>
      <c r="C26" s="26" t="s">
        <v>94</v>
      </c>
      <c r="D26" t="s">
        <v>41</v>
      </c>
      <c r="E26" s="2">
        <v>46143</v>
      </c>
      <c r="F26" s="2">
        <v>46173</v>
      </c>
      <c r="G26" s="2"/>
      <c r="H26" t="s">
        <v>30</v>
      </c>
      <c r="I26" s="13">
        <f t="shared" si="0"/>
        <v>1.5</v>
      </c>
      <c r="J26" s="13">
        <v>1.5</v>
      </c>
      <c r="K26" s="13"/>
      <c r="L26" s="13"/>
      <c r="M26" s="13"/>
      <c r="N26" s="13"/>
    </row>
    <row r="27" spans="1:14" x14ac:dyDescent="0.25">
      <c r="A27">
        <v>19</v>
      </c>
      <c r="B27" t="s">
        <v>96</v>
      </c>
      <c r="C27" s="26" t="s">
        <v>88</v>
      </c>
      <c r="D27" t="s">
        <v>41</v>
      </c>
      <c r="E27" s="2">
        <v>46143</v>
      </c>
      <c r="F27" s="2">
        <v>46173</v>
      </c>
      <c r="G27" s="2"/>
      <c r="H27" t="s">
        <v>30</v>
      </c>
      <c r="I27" s="13">
        <f t="shared" ref="I27" si="3">SUM(J27:N27)</f>
        <v>2.5</v>
      </c>
      <c r="J27" s="13">
        <v>2.5</v>
      </c>
      <c r="K27" s="13"/>
      <c r="L27" s="13"/>
      <c r="M27" s="13"/>
      <c r="N27" s="13"/>
    </row>
    <row r="28" spans="1:14" x14ac:dyDescent="0.25">
      <c r="A28">
        <v>20</v>
      </c>
      <c r="B28" t="s">
        <v>96</v>
      </c>
      <c r="C28" s="26" t="s">
        <v>87</v>
      </c>
      <c r="D28" t="s">
        <v>41</v>
      </c>
      <c r="E28" s="2">
        <v>46143</v>
      </c>
      <c r="F28" s="2">
        <v>46173</v>
      </c>
      <c r="H28" t="s">
        <v>30</v>
      </c>
      <c r="I28" s="13">
        <f t="shared" si="0"/>
        <v>1.5</v>
      </c>
      <c r="J28" s="13">
        <v>1.5</v>
      </c>
      <c r="K28" s="13"/>
      <c r="L28" s="13"/>
      <c r="M28" s="13"/>
      <c r="N28" s="13"/>
    </row>
    <row r="29" spans="1:14" x14ac:dyDescent="0.25">
      <c r="A29">
        <v>21</v>
      </c>
      <c r="B29" t="s">
        <v>96</v>
      </c>
      <c r="C29" s="26" t="s">
        <v>86</v>
      </c>
      <c r="D29" t="s">
        <v>41</v>
      </c>
      <c r="E29" s="2">
        <v>46143</v>
      </c>
      <c r="F29" s="2">
        <v>46173</v>
      </c>
      <c r="H29" t="s">
        <v>30</v>
      </c>
      <c r="I29" s="13">
        <f t="shared" si="0"/>
        <v>2</v>
      </c>
      <c r="J29" s="13">
        <v>2</v>
      </c>
      <c r="K29" s="13"/>
      <c r="L29" s="13"/>
      <c r="M29" s="13"/>
      <c r="N29" s="13"/>
    </row>
    <row r="30" spans="1:14" x14ac:dyDescent="0.25">
      <c r="A30">
        <v>22</v>
      </c>
      <c r="B30" t="s">
        <v>96</v>
      </c>
      <c r="C30" s="26" t="s">
        <v>95</v>
      </c>
      <c r="D30" t="s">
        <v>41</v>
      </c>
      <c r="E30" s="2">
        <v>46143</v>
      </c>
      <c r="F30" s="2">
        <v>46173</v>
      </c>
      <c r="H30" t="s">
        <v>30</v>
      </c>
      <c r="I30" s="13">
        <f t="shared" si="0"/>
        <v>16</v>
      </c>
      <c r="J30" s="13"/>
      <c r="K30" s="13"/>
      <c r="L30" s="13">
        <v>16</v>
      </c>
      <c r="M30" s="13"/>
      <c r="N30" s="13"/>
    </row>
    <row r="31" spans="1:14" x14ac:dyDescent="0.25">
      <c r="A31">
        <v>23</v>
      </c>
      <c r="B31" t="s">
        <v>96</v>
      </c>
      <c r="C31" s="26" t="s">
        <v>107</v>
      </c>
      <c r="D31" t="s">
        <v>41</v>
      </c>
      <c r="E31" s="2">
        <v>46143</v>
      </c>
      <c r="F31" s="2">
        <v>46173</v>
      </c>
      <c r="H31" t="s">
        <v>30</v>
      </c>
      <c r="I31" s="13">
        <f t="shared" si="0"/>
        <v>8</v>
      </c>
      <c r="J31" s="13"/>
      <c r="K31" s="13"/>
      <c r="L31" s="13">
        <v>8</v>
      </c>
      <c r="M31" s="13"/>
      <c r="N31" s="13"/>
    </row>
    <row r="32" spans="1:14" x14ac:dyDescent="0.25">
      <c r="A32">
        <v>24</v>
      </c>
      <c r="B32" t="s">
        <v>96</v>
      </c>
      <c r="C32" s="26" t="s">
        <v>85</v>
      </c>
      <c r="D32" t="s">
        <v>41</v>
      </c>
      <c r="E32" s="2">
        <v>46143</v>
      </c>
      <c r="F32" s="2">
        <v>46173</v>
      </c>
      <c r="H32" t="s">
        <v>30</v>
      </c>
      <c r="I32" s="13">
        <f t="shared" si="0"/>
        <v>3</v>
      </c>
      <c r="J32" s="13">
        <v>3</v>
      </c>
      <c r="K32" s="13"/>
      <c r="L32" s="13"/>
      <c r="M32" s="13"/>
      <c r="N32" s="13"/>
    </row>
    <row r="33" spans="1:14" x14ac:dyDescent="0.25">
      <c r="A33">
        <v>25</v>
      </c>
      <c r="B33" t="s">
        <v>96</v>
      </c>
      <c r="C33" s="26" t="s">
        <v>84</v>
      </c>
      <c r="D33" t="s">
        <v>41</v>
      </c>
      <c r="E33" s="2">
        <v>46143</v>
      </c>
      <c r="F33" s="2">
        <v>46173</v>
      </c>
      <c r="H33" t="s">
        <v>30</v>
      </c>
      <c r="I33" s="13">
        <f t="shared" si="0"/>
        <v>6</v>
      </c>
      <c r="J33" s="13">
        <v>6</v>
      </c>
      <c r="K33" s="13"/>
      <c r="L33" s="13"/>
      <c r="M33" s="13"/>
      <c r="N33" s="13"/>
    </row>
    <row r="34" spans="1:14" x14ac:dyDescent="0.25">
      <c r="A34">
        <v>26</v>
      </c>
      <c r="B34" t="s">
        <v>96</v>
      </c>
      <c r="C34" s="26" t="s">
        <v>91</v>
      </c>
      <c r="D34" t="s">
        <v>41</v>
      </c>
      <c r="E34" s="2">
        <v>46143</v>
      </c>
      <c r="F34" s="2">
        <v>46173</v>
      </c>
      <c r="H34" t="s">
        <v>30</v>
      </c>
      <c r="I34" s="13">
        <f t="shared" si="0"/>
        <v>1</v>
      </c>
      <c r="J34" s="13">
        <v>1</v>
      </c>
      <c r="K34" s="13"/>
      <c r="L34" s="13"/>
      <c r="M34" s="13"/>
      <c r="N34" s="13"/>
    </row>
    <row r="35" spans="1:14" x14ac:dyDescent="0.25">
      <c r="A35">
        <v>27</v>
      </c>
      <c r="B35" t="s">
        <v>96</v>
      </c>
      <c r="C35" s="26" t="s">
        <v>89</v>
      </c>
      <c r="D35" t="s">
        <v>41</v>
      </c>
      <c r="E35" s="2">
        <v>46143</v>
      </c>
      <c r="F35" s="2">
        <v>46173</v>
      </c>
      <c r="H35" t="s">
        <v>30</v>
      </c>
      <c r="I35" s="13">
        <f t="shared" si="0"/>
        <v>3</v>
      </c>
      <c r="J35" s="13"/>
      <c r="K35" s="13">
        <v>3</v>
      </c>
      <c r="L35" s="13"/>
      <c r="M35" s="13"/>
      <c r="N35" s="13"/>
    </row>
    <row r="36" spans="1:14" x14ac:dyDescent="0.25">
      <c r="A36">
        <v>28</v>
      </c>
      <c r="B36" t="s">
        <v>96</v>
      </c>
      <c r="C36" s="26" t="s">
        <v>90</v>
      </c>
      <c r="D36" t="s">
        <v>41</v>
      </c>
      <c r="E36" s="2">
        <v>46143</v>
      </c>
      <c r="F36" s="2">
        <v>46173</v>
      </c>
      <c r="H36" t="s">
        <v>30</v>
      </c>
      <c r="I36" s="13">
        <f t="shared" si="0"/>
        <v>3.5</v>
      </c>
      <c r="J36" s="13">
        <v>3.5</v>
      </c>
      <c r="K36" s="13"/>
      <c r="L36" s="13"/>
      <c r="M36" s="13"/>
      <c r="N36" s="13"/>
    </row>
    <row r="37" spans="1:14" x14ac:dyDescent="0.25">
      <c r="A37">
        <v>29</v>
      </c>
      <c r="B37" t="s">
        <v>96</v>
      </c>
      <c r="C37" s="26" t="s">
        <v>102</v>
      </c>
      <c r="D37" t="s">
        <v>41</v>
      </c>
      <c r="E37" s="2">
        <v>46143</v>
      </c>
      <c r="F37" s="2">
        <v>46173</v>
      </c>
      <c r="H37" t="s">
        <v>30</v>
      </c>
      <c r="I37" s="13">
        <f t="shared" si="0"/>
        <v>3</v>
      </c>
      <c r="J37" s="13"/>
      <c r="K37" s="13">
        <v>3</v>
      </c>
      <c r="L37" s="13"/>
      <c r="M37" s="13"/>
      <c r="N37" s="13"/>
    </row>
    <row r="38" spans="1:14" x14ac:dyDescent="0.25">
      <c r="A38">
        <v>30</v>
      </c>
      <c r="B38" t="s">
        <v>96</v>
      </c>
      <c r="C38" s="26" t="s">
        <v>103</v>
      </c>
      <c r="D38" t="s">
        <v>41</v>
      </c>
      <c r="E38" s="2">
        <v>46143</v>
      </c>
      <c r="F38" s="2">
        <v>46173</v>
      </c>
      <c r="H38" t="s">
        <v>30</v>
      </c>
      <c r="I38" s="13">
        <f t="shared" ref="I38" si="4">SUM(J38:N38)</f>
        <v>9</v>
      </c>
      <c r="J38" s="13"/>
      <c r="K38" s="13"/>
      <c r="L38" s="13">
        <v>6</v>
      </c>
      <c r="M38" s="13">
        <v>3</v>
      </c>
      <c r="N38" s="13"/>
    </row>
    <row r="39" spans="1:14" x14ac:dyDescent="0.25">
      <c r="C39" s="26"/>
      <c r="E39" s="2"/>
      <c r="F39" s="2"/>
      <c r="I39" s="13"/>
      <c r="J39" s="13"/>
      <c r="K39" s="13"/>
      <c r="M39" s="13"/>
    </row>
    <row r="40" spans="1:14" x14ac:dyDescent="0.25">
      <c r="C40" s="26"/>
      <c r="E40" s="2"/>
      <c r="F40" s="2"/>
      <c r="I40" s="13"/>
      <c r="J40" s="13"/>
      <c r="K40" s="13"/>
      <c r="M40" s="13"/>
    </row>
    <row r="41" spans="1:14" x14ac:dyDescent="0.25">
      <c r="C41" s="26"/>
      <c r="E41" s="2"/>
      <c r="F41" s="2"/>
      <c r="I41" s="13"/>
      <c r="J41" s="13"/>
      <c r="K41" s="13"/>
      <c r="M41" s="13"/>
    </row>
    <row r="42" spans="1:14" x14ac:dyDescent="0.25">
      <c r="C42" s="26"/>
      <c r="N42" s="13"/>
    </row>
    <row r="43" spans="1:14" ht="15.75" thickBot="1" x14ac:dyDescent="0.3">
      <c r="A43" s="12" t="s">
        <v>19</v>
      </c>
      <c r="B43" s="8"/>
      <c r="C43" s="8"/>
      <c r="D43" s="8"/>
      <c r="E43" s="8"/>
      <c r="F43" s="8"/>
      <c r="G43" s="8"/>
      <c r="H43" s="8"/>
      <c r="I43" s="14">
        <f>SUM(I8:I42)</f>
        <v>133</v>
      </c>
      <c r="J43" s="14">
        <f>SUM(J8:J42)</f>
        <v>40</v>
      </c>
      <c r="K43" s="14">
        <f>SUM(K8:K42)</f>
        <v>32</v>
      </c>
      <c r="L43" s="14">
        <f>SUM(L8:L42)</f>
        <v>40</v>
      </c>
      <c r="M43" s="14">
        <f>SUM(M8:M42)</f>
        <v>21</v>
      </c>
      <c r="N43" s="14">
        <f>SUM(N8:N42)</f>
        <v>0</v>
      </c>
    </row>
    <row r="44" spans="1:14" ht="15.75" thickTop="1" x14ac:dyDescent="0.25">
      <c r="I44" s="13"/>
      <c r="J44" s="13"/>
      <c r="K44" s="13"/>
      <c r="L44" s="13"/>
      <c r="M44" s="13"/>
      <c r="N44" s="13"/>
    </row>
    <row r="45" spans="1:14" x14ac:dyDescent="0.25">
      <c r="A45" s="1" t="s">
        <v>20</v>
      </c>
      <c r="I45" s="13"/>
      <c r="J45" s="13"/>
      <c r="K45" s="13"/>
      <c r="L45" s="13"/>
      <c r="M45" s="13"/>
      <c r="N45" s="13"/>
    </row>
    <row r="46" spans="1:14" x14ac:dyDescent="0.25">
      <c r="B46" t="s">
        <v>21</v>
      </c>
      <c r="I46" s="13">
        <f t="shared" ref="I46:I50" si="5">SUM(J46:N46)</f>
        <v>0</v>
      </c>
      <c r="J46" s="13"/>
      <c r="K46" s="13"/>
      <c r="L46" s="13"/>
      <c r="M46" s="13"/>
      <c r="N46" s="13"/>
    </row>
    <row r="47" spans="1:14" x14ac:dyDescent="0.25">
      <c r="B47" t="s">
        <v>22</v>
      </c>
      <c r="I47" s="13">
        <f t="shared" si="5"/>
        <v>19</v>
      </c>
      <c r="J47" s="13"/>
      <c r="K47" s="13"/>
      <c r="L47" s="13"/>
      <c r="M47" s="13">
        <v>19</v>
      </c>
      <c r="N47" s="13"/>
    </row>
    <row r="48" spans="1:14" x14ac:dyDescent="0.25">
      <c r="B48" t="s">
        <v>23</v>
      </c>
      <c r="I48" s="13">
        <f t="shared" si="5"/>
        <v>0</v>
      </c>
      <c r="J48" s="13"/>
      <c r="K48" s="13"/>
      <c r="L48" s="13"/>
      <c r="M48" s="13"/>
      <c r="N48" s="13"/>
    </row>
    <row r="49" spans="1:14" x14ac:dyDescent="0.25">
      <c r="B49" t="s">
        <v>24</v>
      </c>
      <c r="I49" s="13">
        <f t="shared" si="5"/>
        <v>8</v>
      </c>
      <c r="J49" s="13"/>
      <c r="K49" s="13">
        <v>8</v>
      </c>
      <c r="L49" s="13"/>
      <c r="M49" s="13"/>
      <c r="N49" s="13"/>
    </row>
    <row r="50" spans="1:14" x14ac:dyDescent="0.25">
      <c r="B50" t="s">
        <v>25</v>
      </c>
      <c r="I50" s="13">
        <f t="shared" si="5"/>
        <v>0</v>
      </c>
      <c r="J50" s="13">
        <v>0</v>
      </c>
      <c r="K50" s="13">
        <v>0</v>
      </c>
      <c r="L50" s="13">
        <v>0</v>
      </c>
      <c r="M50" s="13"/>
      <c r="N50" s="13"/>
    </row>
    <row r="52" spans="1:14" ht="15.75" thickBot="1" x14ac:dyDescent="0.3">
      <c r="A52" s="12" t="s">
        <v>26</v>
      </c>
      <c r="B52" s="8"/>
      <c r="C52" s="8"/>
      <c r="D52" s="8"/>
      <c r="E52" s="8"/>
      <c r="F52" s="8"/>
      <c r="G52" s="8"/>
      <c r="H52" s="8"/>
      <c r="I52" s="14">
        <f>SUM(I46:I51)</f>
        <v>27</v>
      </c>
      <c r="J52" s="14">
        <f>SUM(J46:J51)</f>
        <v>0</v>
      </c>
      <c r="K52" s="14">
        <f t="shared" ref="K52:M52" si="6">SUM(K46:K51)</f>
        <v>8</v>
      </c>
      <c r="L52" s="14">
        <f t="shared" si="6"/>
        <v>0</v>
      </c>
      <c r="M52" s="14">
        <f t="shared" si="6"/>
        <v>19</v>
      </c>
      <c r="N52" s="14">
        <f t="shared" ref="N52" si="7">SUM(N46:N51)</f>
        <v>0</v>
      </c>
    </row>
    <row r="53" spans="1:14" ht="15.75" thickTop="1" x14ac:dyDescent="0.25">
      <c r="I53" s="13"/>
      <c r="J53" s="13"/>
      <c r="K53" s="13"/>
      <c r="L53" s="13"/>
      <c r="M53" s="13"/>
      <c r="N53" s="13"/>
    </row>
    <row r="54" spans="1:14" ht="15.75" thickBot="1" x14ac:dyDescent="0.3">
      <c r="A54" s="12" t="s">
        <v>27</v>
      </c>
      <c r="B54" s="8"/>
      <c r="C54" s="8"/>
      <c r="D54" s="8"/>
      <c r="E54" s="8"/>
      <c r="F54" s="8"/>
      <c r="G54" s="8"/>
      <c r="H54" s="8"/>
      <c r="I54" s="14">
        <f>+I52+I43</f>
        <v>160</v>
      </c>
      <c r="J54" s="14">
        <f t="shared" ref="J54:M54" si="8">+J52+J43</f>
        <v>40</v>
      </c>
      <c r="K54" s="14">
        <f t="shared" si="8"/>
        <v>40</v>
      </c>
      <c r="L54" s="14">
        <f t="shared" si="8"/>
        <v>40</v>
      </c>
      <c r="M54" s="14">
        <f t="shared" si="8"/>
        <v>40</v>
      </c>
      <c r="N54" s="14">
        <f t="shared" ref="N54" si="9">+N52+N43</f>
        <v>0</v>
      </c>
    </row>
    <row r="55" spans="1:14" ht="15.75" thickTop="1" x14ac:dyDescent="0.25"/>
    <row r="57" spans="1:14" ht="15.75" thickBot="1" x14ac:dyDescent="0.3">
      <c r="A57" s="12" t="s">
        <v>28</v>
      </c>
      <c r="B57" s="8"/>
      <c r="C57" s="8"/>
      <c r="D57" s="8"/>
      <c r="E57" s="8"/>
      <c r="F57" s="8"/>
      <c r="G57" s="8"/>
      <c r="H57" s="8"/>
      <c r="I57" s="14"/>
      <c r="J57" s="14">
        <v>40</v>
      </c>
      <c r="K57" s="14">
        <v>40</v>
      </c>
      <c r="L57" s="14">
        <v>40</v>
      </c>
      <c r="M57" s="14">
        <v>40</v>
      </c>
      <c r="N57" s="14">
        <v>40</v>
      </c>
    </row>
    <row r="58" spans="1:14" ht="16.5" thickTop="1" thickBot="1" x14ac:dyDescent="0.3">
      <c r="A58" s="12" t="s">
        <v>29</v>
      </c>
      <c r="B58" s="8"/>
      <c r="C58" s="8"/>
      <c r="D58" s="8"/>
      <c r="E58" s="8"/>
      <c r="F58" s="8"/>
      <c r="G58" s="8"/>
      <c r="H58" s="8"/>
      <c r="I58" s="14"/>
      <c r="J58" s="14">
        <f>+J57-J54</f>
        <v>0</v>
      </c>
      <c r="K58" s="14">
        <f t="shared" ref="K58:M58" si="10">+K57-K54</f>
        <v>0</v>
      </c>
      <c r="L58" s="14">
        <f t="shared" si="10"/>
        <v>0</v>
      </c>
      <c r="M58" s="14">
        <f t="shared" si="10"/>
        <v>0</v>
      </c>
      <c r="N58" s="14">
        <f t="shared" ref="N58" si="11">+N57-N54</f>
        <v>40</v>
      </c>
    </row>
    <row r="59" spans="1:14" ht="15.75" thickTop="1" x14ac:dyDescent="0.25"/>
  </sheetData>
  <protectedRanges>
    <protectedRange sqref="G19:G20 G11:G17 A42:C42 G24:G26 E42:XFD42 A8:XFD8 H11:I20 A46:XFD51 M9:XFD41 H22:I26 J20:K21 J34:K34 J30:K30 J17:K18 G9:I10 G21:I21 C24:C41 G27:I41" name="Range1"/>
    <protectedRange sqref="D9:D42" name="Range1_2"/>
    <protectedRange sqref="C14:C23 A9:A41" name="Range1_4"/>
    <protectedRange sqref="B9:C10 B11:B41" name="Range1_1_1"/>
    <protectedRange sqref="G18 G22 E9:F22 E23:G23 E24:F41" name="Range1_3_1"/>
  </protectedRanges>
  <pageMargins left="0.25" right="0.25" top="0.75" bottom="0.75" header="0.3" footer="0.3"/>
  <pageSetup orientation="landscape" horizontalDpi="1200" verticalDpi="1200" r:id="rId1"/>
  <ignoredErrors>
    <ignoredError sqref="I26" formulaRange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74BA8BDB-53D6-49C3-ABCC-E46D7EAA39F8}">
          <x14:formula1>
            <xm:f>Status!$B$15:$B$22</xm:f>
          </x14:formula1>
          <xm:sqref>H9:H42</xm:sqref>
        </x14:dataValidation>
        <x14:dataValidation type="list" allowBlank="1" showInputMessage="1" showErrorMessage="1" xr:uid="{B3593689-9E01-4298-B008-351C49C0C35E}">
          <x14:formula1>
            <xm:f>Status!$B$3:$B$11</xm:f>
          </x14:formula1>
          <xm:sqref>D9:D42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topLeftCell="A12" workbookViewId="0"/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2" t="s">
        <v>39</v>
      </c>
      <c r="C2" s="22" t="s">
        <v>44</v>
      </c>
    </row>
    <row r="3" spans="2:3" x14ac:dyDescent="0.25">
      <c r="B3" s="19" t="s">
        <v>40</v>
      </c>
      <c r="C3" s="20" t="s">
        <v>45</v>
      </c>
    </row>
    <row r="4" spans="2:3" x14ac:dyDescent="0.25">
      <c r="B4" s="19" t="s">
        <v>46</v>
      </c>
      <c r="C4" s="20" t="s">
        <v>47</v>
      </c>
    </row>
    <row r="5" spans="2:3" x14ac:dyDescent="0.25">
      <c r="B5" s="19" t="s">
        <v>48</v>
      </c>
      <c r="C5" s="20" t="s">
        <v>49</v>
      </c>
    </row>
    <row r="6" spans="2:3" x14ac:dyDescent="0.25">
      <c r="B6" s="19" t="s">
        <v>41</v>
      </c>
      <c r="C6" s="20" t="s">
        <v>50</v>
      </c>
    </row>
    <row r="7" spans="2:3" x14ac:dyDescent="0.25">
      <c r="B7" s="19" t="s">
        <v>51</v>
      </c>
      <c r="C7" s="20" t="s">
        <v>52</v>
      </c>
    </row>
    <row r="8" spans="2:3" x14ac:dyDescent="0.25">
      <c r="B8" s="19" t="s">
        <v>42</v>
      </c>
      <c r="C8" s="20" t="s">
        <v>53</v>
      </c>
    </row>
    <row r="9" spans="2:3" x14ac:dyDescent="0.25">
      <c r="B9" s="19" t="s">
        <v>43</v>
      </c>
      <c r="C9" s="20" t="s">
        <v>54</v>
      </c>
    </row>
    <row r="10" spans="2:3" x14ac:dyDescent="0.25">
      <c r="B10" s="19" t="s">
        <v>55</v>
      </c>
      <c r="C10" s="20" t="s">
        <v>56</v>
      </c>
    </row>
    <row r="11" spans="2:3" x14ac:dyDescent="0.25">
      <c r="B11" s="19" t="s">
        <v>72</v>
      </c>
      <c r="C11" s="20" t="s">
        <v>73</v>
      </c>
    </row>
    <row r="14" spans="2:3" ht="16.5" x14ac:dyDescent="0.25">
      <c r="B14" s="22" t="s">
        <v>57</v>
      </c>
      <c r="C14" s="22" t="s">
        <v>44</v>
      </c>
    </row>
    <row r="15" spans="2:3" x14ac:dyDescent="0.25">
      <c r="B15" s="21" t="s">
        <v>30</v>
      </c>
      <c r="C15" s="20" t="s">
        <v>58</v>
      </c>
    </row>
    <row r="16" spans="2:3" x14ac:dyDescent="0.25">
      <c r="B16" s="21" t="s">
        <v>59</v>
      </c>
      <c r="C16" s="20" t="s">
        <v>60</v>
      </c>
    </row>
    <row r="17" spans="2:3" x14ac:dyDescent="0.25">
      <c r="B17" s="21" t="s">
        <v>38</v>
      </c>
      <c r="C17" s="20" t="s">
        <v>61</v>
      </c>
    </row>
    <row r="18" spans="2:3" x14ac:dyDescent="0.25">
      <c r="B18" s="21" t="s">
        <v>18</v>
      </c>
      <c r="C18" s="20" t="s">
        <v>62</v>
      </c>
    </row>
    <row r="19" spans="2:3" x14ac:dyDescent="0.25">
      <c r="B19" s="21" t="s">
        <v>31</v>
      </c>
      <c r="C19" s="20" t="s">
        <v>63</v>
      </c>
    </row>
    <row r="20" spans="2:3" x14ac:dyDescent="0.25">
      <c r="B20" s="21" t="s">
        <v>32</v>
      </c>
      <c r="C20" s="20" t="s">
        <v>64</v>
      </c>
    </row>
    <row r="21" spans="2:3" x14ac:dyDescent="0.25">
      <c r="B21" s="21" t="s">
        <v>65</v>
      </c>
      <c r="C21" s="20" t="s">
        <v>66</v>
      </c>
    </row>
    <row r="22" spans="2:3" x14ac:dyDescent="0.25">
      <c r="B22" s="21" t="s">
        <v>37</v>
      </c>
      <c r="C22" s="20" t="s">
        <v>67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/>
  </sheetViews>
  <sheetFormatPr defaultRowHeight="15" x14ac:dyDescent="0.25"/>
  <cols>
    <col min="1" max="1" width="124.28515625" bestFit="1" customWidth="1"/>
  </cols>
  <sheetData>
    <row r="1" spans="1:1" s="16" customFormat="1" ht="16.5" thickBot="1" x14ac:dyDescent="0.3">
      <c r="A1" s="18" t="s">
        <v>33</v>
      </c>
    </row>
    <row r="2" spans="1:1" s="16" customFormat="1" ht="15.75" x14ac:dyDescent="0.25">
      <c r="A2" s="17"/>
    </row>
    <row r="3" spans="1:1" s="16" customFormat="1" ht="15.75" x14ac:dyDescent="0.25">
      <c r="A3" s="15" t="s">
        <v>70</v>
      </c>
    </row>
    <row r="4" spans="1:1" s="16" customFormat="1" ht="15.75" x14ac:dyDescent="0.25">
      <c r="A4" s="17"/>
    </row>
    <row r="5" spans="1:1" s="16" customFormat="1" ht="15.75" x14ac:dyDescent="0.25">
      <c r="A5" s="17"/>
    </row>
    <row r="6" spans="1:1" s="16" customFormat="1" ht="15.75" x14ac:dyDescent="0.25">
      <c r="A6" s="17"/>
    </row>
    <row r="7" spans="1:1" ht="15.75" x14ac:dyDescent="0.25">
      <c r="A7" s="15" t="s">
        <v>34</v>
      </c>
    </row>
    <row r="8" spans="1:1" ht="15.75" x14ac:dyDescent="0.25">
      <c r="A8" s="15" t="s">
        <v>71</v>
      </c>
    </row>
    <row r="9" spans="1:1" ht="15.75" x14ac:dyDescent="0.25">
      <c r="A9" s="15" t="s">
        <v>69</v>
      </c>
    </row>
    <row r="10" spans="1:1" ht="15.75" x14ac:dyDescent="0.25">
      <c r="A10" s="15" t="s">
        <v>35</v>
      </c>
    </row>
    <row r="11" spans="1:1" ht="15.75" x14ac:dyDescent="0.25">
      <c r="A11" s="15" t="s">
        <v>36</v>
      </c>
    </row>
    <row r="12" spans="1:1" ht="15.75" x14ac:dyDescent="0.25">
      <c r="A12" s="15" t="s">
        <v>68</v>
      </c>
    </row>
    <row r="14" spans="1:1" x14ac:dyDescent="0.25">
      <c r="A14" s="23"/>
    </row>
    <row r="15" spans="1:1" x14ac:dyDescent="0.25">
      <c r="A15" s="23"/>
    </row>
    <row r="16" spans="1:1" x14ac:dyDescent="0.25">
      <c r="A16" s="2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Jayraj Dasadiya</cp:lastModifiedBy>
  <cp:revision/>
  <dcterms:created xsi:type="dcterms:W3CDTF">2015-06-05T18:17:20Z</dcterms:created>
  <dcterms:modified xsi:type="dcterms:W3CDTF">2026-04-30T06:05:28Z</dcterms:modified>
  <cp:category/>
  <cp:contentStatus/>
</cp:coreProperties>
</file>