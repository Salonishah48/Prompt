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640D5718-649A-4AC9-BF43-3843644C6F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J28" i="1"/>
  <c r="I42" i="1"/>
  <c r="K28" i="1"/>
  <c r="K6" i="1"/>
  <c r="L6" i="1" s="1"/>
  <c r="M6" i="1" s="1"/>
  <c r="I34" i="1"/>
  <c r="I18" i="1"/>
  <c r="I17" i="1"/>
  <c r="I16" i="1"/>
  <c r="I15" i="1"/>
  <c r="I14" i="1"/>
  <c r="I13" i="1"/>
  <c r="I12" i="1"/>
  <c r="I11" i="1"/>
  <c r="I9" i="1"/>
  <c r="A10" i="1"/>
  <c r="A11" i="1" s="1"/>
  <c r="A12" i="1" s="1"/>
  <c r="A13" i="1" s="1"/>
  <c r="A14" i="1" s="1"/>
  <c r="A16" i="1" s="1"/>
  <c r="A17" i="1" s="1"/>
  <c r="A18" i="1" s="1"/>
  <c r="A19" i="1" s="1"/>
  <c r="A20" i="1" s="1"/>
  <c r="A21" i="1" s="1"/>
  <c r="A22" i="1" s="1"/>
  <c r="I35" i="1"/>
  <c r="I33" i="1"/>
  <c r="I32" i="1"/>
  <c r="I31" i="1"/>
  <c r="I23" i="1"/>
  <c r="K37" i="1"/>
  <c r="L28" i="1"/>
  <c r="I27" i="1"/>
  <c r="I24" i="1"/>
  <c r="I26" i="1"/>
  <c r="I25" i="1"/>
  <c r="I10" i="1"/>
  <c r="I19" i="1"/>
  <c r="I20" i="1"/>
  <c r="I21" i="1"/>
  <c r="I22" i="1"/>
  <c r="I37" i="1" l="1"/>
  <c r="J39" i="1"/>
  <c r="J43" i="1" s="1"/>
  <c r="I28" i="1"/>
  <c r="N28" i="1"/>
  <c r="M28" i="1"/>
  <c r="N37" i="1"/>
  <c r="M37" i="1"/>
  <c r="L37" i="1"/>
  <c r="K39" i="1"/>
  <c r="K43" i="1" s="1"/>
  <c r="I39" i="1" l="1"/>
  <c r="I43" i="1" s="1"/>
  <c r="M39" i="1"/>
  <c r="M43" i="1" s="1"/>
  <c r="N39" i="1"/>
  <c r="L39" i="1"/>
  <c r="L43" i="1" s="1"/>
</calcChain>
</file>

<file path=xl/sharedStrings.xml><?xml version="1.0" encoding="utf-8"?>
<sst xmlns="http://schemas.openxmlformats.org/spreadsheetml/2006/main" count="148" uniqueCount="101">
  <si>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</si>
  <si>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</si>
  <si>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</si>
  <si>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</si>
  <si>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</si>
  <si>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</si>
  <si>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</si>
  <si>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</si>
  <si>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</si>
  <si>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</si>
  <si>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</si>
  <si>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</si>
  <si>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</si>
  <si>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</si>
  <si>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</si>
  <si>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</si>
  <si>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</si>
  <si>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</si>
  <si>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</si>
  <si>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</si>
  <si>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</si>
  <si>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</si>
  <si>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</si>
  <si>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</si>
  <si>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</si>
  <si>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</si>
  <si>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</si>
  <si>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</si>
  <si>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</si>
  <si>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</si>
  <si>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</si>
  <si>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</si>
  <si>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</si>
  <si>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</si>
  <si>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</si>
  <si>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</si>
  <si>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</si>
  <si>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</si>
  <si>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</si>
  <si>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</si>
  <si>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</si>
  <si>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</si>
  <si>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</si>
  <si>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</si>
  <si>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</si>
  <si>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</si>
  <si>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</si>
  <si>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</si>
  <si>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</si>
  <si>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</si>
  <si>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</si>
  <si>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</si>
  <si>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</si>
  <si>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</si>
  <si>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</si>
  <si>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</si>
  <si>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</si>
  <si>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</si>
  <si>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</si>
  <si>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</si>
  <si>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</si>
  <si>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</si>
  <si>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</si>
  <si>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</si>
  <si>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</si>
  <si>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</si>
  <si>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</si>
  <si>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</si>
  <si>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</si>
  <si>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</si>
  <si>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</si>
  <si>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</si>
  <si>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</si>
  <si>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</si>
  <si>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</si>
  <si>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Namra Shah</t>
  </si>
  <si>
    <t>Staff</t>
  </si>
  <si>
    <t>Firoz Shaikh</t>
  </si>
  <si>
    <t>Bay Business Group LLC</t>
  </si>
  <si>
    <t>SIA(Society for International Affairs)</t>
  </si>
  <si>
    <t>Berry &amp; Berry PLLC</t>
  </si>
  <si>
    <t>Burney Partners LLC</t>
  </si>
  <si>
    <t>Parabon Nanolabs Inc</t>
  </si>
  <si>
    <t>Parabon Computations Inc</t>
  </si>
  <si>
    <t>Horton's Kids</t>
  </si>
  <si>
    <t>Little Beginnings</t>
  </si>
  <si>
    <t>RJM Technologies Inc</t>
  </si>
  <si>
    <t>Admin - General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</si>
  <si>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</si>
  <si>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</si>
  <si>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</si>
  <si>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</si>
  <si>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</si>
  <si>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</si>
  <si>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</si>
  <si>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</si>
  <si>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</si>
  <si>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</si>
  <si>
    <t>Burney Tax</t>
  </si>
  <si>
    <t>MDB Group</t>
  </si>
  <si>
    <t>Acron Financial Advisory Services,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</si>
</sst>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0" fillId="0" borderId="4" xfId="0" applyBorder="1"/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="85" zoomScaleNormal="85" workbookViewId="0">
      <pane xSplit="2" ySplit="7" topLeftCell="C8" activePane="bottomRight" state="frozen"/>
      <selection activeCell="A12" sqref="A12"/>
      <selection pane="topRight" activeCell="A12" sqref="A12"/>
      <selection pane="bottomLeft" activeCell="A12" sqref="A12"/>
      <selection pane="bottomRight" activeCell="A25" sqref="A25"/>
    </sheetView>
  </sheetViews>
  <sheetFormatPr defaultRowHeight="15" x14ac:dyDescent="0.25"/>
  <cols>
    <col min="1" max="1" width="24.5703125" bestFit="1" customWidth="1"/>
    <col min="2" max="3" width="25.140625" customWidth="1"/>
    <col min="4" max="4" width="42.42578125" bestFit="1" customWidth="1"/>
    <col min="5" max="6" width="11.7109375" customWidth="1"/>
    <col min="7" max="7" width="13.140625" customWidth="1"/>
    <col min="8" max="8" width="32.28515625" bestFit="1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77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8">
        <v>46146</v>
      </c>
      <c r="K6" s="28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M8" s="5"/>
      <c r="N8" s="6"/>
    </row>
    <row r="9" spans="1:14" x14ac:dyDescent="0.25">
      <c r="A9">
        <v>1</v>
      </c>
      <c r="B9" t="s">
        <v>78</v>
      </c>
      <c r="C9" s="27" t="s">
        <v>79</v>
      </c>
      <c r="D9" s="25" t="s">
        <v>21</v>
      </c>
      <c r="E9" s="2">
        <v>46146</v>
      </c>
      <c r="F9" s="2">
        <v>46151</v>
      </c>
      <c r="G9" s="2"/>
      <c r="H9" s="25" t="s">
        <v>51</v>
      </c>
      <c r="I9" s="14">
        <f>SUM(J9:M9)</f>
        <v>6</v>
      </c>
      <c r="J9" s="14">
        <v>6</v>
      </c>
      <c r="K9" s="14"/>
      <c r="M9" s="14"/>
    </row>
    <row r="10" spans="1:14" x14ac:dyDescent="0.25">
      <c r="A10">
        <f>A9+1</f>
        <v>2</v>
      </c>
      <c r="B10" t="s">
        <v>78</v>
      </c>
      <c r="C10" s="27" t="s">
        <v>80</v>
      </c>
      <c r="D10" s="25" t="s">
        <v>21</v>
      </c>
      <c r="E10" s="2">
        <v>46146</v>
      </c>
      <c r="F10" s="2">
        <v>46151</v>
      </c>
      <c r="G10" s="2"/>
      <c r="H10" s="25" t="s">
        <v>51</v>
      </c>
      <c r="I10" s="14">
        <f t="shared" ref="I10:I27" si="0">SUM(J10:M10)</f>
        <v>5</v>
      </c>
      <c r="J10" s="14">
        <v>5</v>
      </c>
      <c r="K10" s="14"/>
      <c r="M10" s="14"/>
    </row>
    <row r="11" spans="1:14" x14ac:dyDescent="0.25">
      <c r="A11">
        <f t="shared" ref="A11:A22" si="1">A10+1</f>
        <v>3</v>
      </c>
      <c r="B11" t="s">
        <v>78</v>
      </c>
      <c r="C11" s="27" t="s">
        <v>81</v>
      </c>
      <c r="D11" s="25" t="s">
        <v>21</v>
      </c>
      <c r="E11" s="2">
        <v>46146</v>
      </c>
      <c r="F11" s="2">
        <v>46151</v>
      </c>
      <c r="G11" s="2"/>
      <c r="H11" s="25" t="s">
        <v>51</v>
      </c>
      <c r="I11" s="14">
        <f t="shared" ref="I11:I18" si="2">SUM(J11:M11)</f>
        <v>6</v>
      </c>
      <c r="J11" s="14">
        <v>6</v>
      </c>
      <c r="K11" s="14"/>
      <c r="M11" s="14"/>
    </row>
    <row r="12" spans="1:14" x14ac:dyDescent="0.25">
      <c r="A12">
        <f t="shared" si="1"/>
        <v>4</v>
      </c>
      <c r="B12" t="s">
        <v>78</v>
      </c>
      <c r="C12" s="27" t="s">
        <v>99</v>
      </c>
      <c r="D12" s="25" t="s">
        <v>35</v>
      </c>
      <c r="E12" s="2">
        <v>46146</v>
      </c>
      <c r="F12" s="2">
        <v>46151</v>
      </c>
      <c r="G12" s="2"/>
      <c r="H12" s="25" t="s">
        <v>51</v>
      </c>
      <c r="I12" s="14">
        <f t="shared" si="2"/>
        <v>2</v>
      </c>
      <c r="J12" s="14">
        <v>2</v>
      </c>
      <c r="K12" s="14"/>
      <c r="M12" s="14"/>
    </row>
    <row r="13" spans="1:14" x14ac:dyDescent="0.25">
      <c r="A13">
        <f t="shared" si="1"/>
        <v>5</v>
      </c>
      <c r="B13" t="s">
        <v>78</v>
      </c>
      <c r="C13" s="27" t="s">
        <v>99</v>
      </c>
      <c r="D13" s="25" t="s">
        <v>21</v>
      </c>
      <c r="E13" s="2">
        <v>46146</v>
      </c>
      <c r="F13" s="2">
        <v>46151</v>
      </c>
      <c r="G13" s="2"/>
      <c r="H13" s="25" t="s">
        <v>51</v>
      </c>
      <c r="I13" s="14">
        <f t="shared" si="2"/>
        <v>9</v>
      </c>
      <c r="J13" s="14">
        <v>3</v>
      </c>
      <c r="K13" s="14">
        <v>6</v>
      </c>
      <c r="M13" s="14"/>
    </row>
    <row r="14" spans="1:14" x14ac:dyDescent="0.25">
      <c r="A14">
        <f t="shared" si="1"/>
        <v>6</v>
      </c>
      <c r="B14" t="s">
        <v>78</v>
      </c>
      <c r="C14" s="27" t="s">
        <v>100</v>
      </c>
      <c r="D14" s="25" t="s">
        <v>21</v>
      </c>
      <c r="E14" s="2">
        <v>46146</v>
      </c>
      <c r="F14" s="2">
        <v>46151</v>
      </c>
      <c r="G14" s="2"/>
      <c r="H14" s="25" t="s">
        <v>51</v>
      </c>
      <c r="I14" s="14">
        <f t="shared" si="2"/>
        <v>5.5</v>
      </c>
      <c r="J14" s="14">
        <v>2.5</v>
      </c>
      <c r="K14" s="14">
        <v>3</v>
      </c>
      <c r="M14" s="14"/>
    </row>
    <row r="15" spans="1:14" x14ac:dyDescent="0.25">
      <c r="A15">
        <v>7</v>
      </c>
      <c r="B15" t="s">
        <v>78</v>
      </c>
      <c r="C15" s="27" t="s">
        <v>100</v>
      </c>
      <c r="D15" s="25" t="s">
        <v>21</v>
      </c>
      <c r="E15" s="2">
        <v>46139</v>
      </c>
      <c r="F15" s="2">
        <v>46152</v>
      </c>
      <c r="G15" s="2"/>
      <c r="H15" s="25" t="s">
        <v>51</v>
      </c>
      <c r="I15" s="14">
        <f t="shared" si="2"/>
        <v>3</v>
      </c>
      <c r="J15" s="14"/>
      <c r="K15" s="14">
        <v>3</v>
      </c>
    </row>
    <row r="16" spans="1:14" x14ac:dyDescent="0.25">
      <c r="A16">
        <f t="shared" si="1"/>
        <v>8</v>
      </c>
      <c r="B16" t="s">
        <v>78</v>
      </c>
      <c r="C16" s="27" t="s">
        <v>98</v>
      </c>
      <c r="D16" s="25" t="s">
        <v>21</v>
      </c>
      <c r="E16" s="2">
        <v>46146</v>
      </c>
      <c r="F16" s="2">
        <v>46151</v>
      </c>
      <c r="G16" s="2"/>
      <c r="H16" s="25" t="s">
        <v>51</v>
      </c>
      <c r="I16" s="14">
        <f t="shared" si="2"/>
        <v>1</v>
      </c>
      <c r="J16" s="14">
        <v>1</v>
      </c>
      <c r="K16" s="14"/>
      <c r="M16" s="14"/>
    </row>
    <row r="17" spans="1:14" x14ac:dyDescent="0.25">
      <c r="A17">
        <f t="shared" si="1"/>
        <v>9</v>
      </c>
      <c r="B17" t="s">
        <v>78</v>
      </c>
      <c r="C17" s="27" t="s">
        <v>82</v>
      </c>
      <c r="D17" s="25" t="s">
        <v>21</v>
      </c>
      <c r="E17" s="2">
        <v>46146</v>
      </c>
      <c r="F17" s="2">
        <v>46151</v>
      </c>
      <c r="G17" s="2"/>
      <c r="H17" s="25" t="s">
        <v>55</v>
      </c>
      <c r="I17" s="14">
        <f t="shared" si="2"/>
        <v>11</v>
      </c>
      <c r="J17" s="14">
        <v>3</v>
      </c>
      <c r="K17" s="14">
        <v>8</v>
      </c>
      <c r="M17" s="14"/>
    </row>
    <row r="18" spans="1:14" x14ac:dyDescent="0.25">
      <c r="A18">
        <f t="shared" si="1"/>
        <v>10</v>
      </c>
      <c r="B18" t="s">
        <v>78</v>
      </c>
      <c r="C18" s="27" t="s">
        <v>83</v>
      </c>
      <c r="D18" s="25" t="s">
        <v>21</v>
      </c>
      <c r="E18" s="2">
        <v>46146</v>
      </c>
      <c r="F18" s="2">
        <v>46151</v>
      </c>
      <c r="G18" s="2"/>
      <c r="H18" s="25" t="s">
        <v>51</v>
      </c>
      <c r="I18" s="14">
        <f t="shared" si="2"/>
        <v>1</v>
      </c>
      <c r="J18" s="14">
        <v>1</v>
      </c>
      <c r="K18" s="14"/>
      <c r="M18" s="14"/>
    </row>
    <row r="19" spans="1:14" x14ac:dyDescent="0.25">
      <c r="A19">
        <f t="shared" si="1"/>
        <v>11</v>
      </c>
      <c r="B19" t="s">
        <v>78</v>
      </c>
      <c r="C19" s="27" t="s">
        <v>84</v>
      </c>
      <c r="D19" s="25" t="s">
        <v>21</v>
      </c>
      <c r="E19" s="2">
        <v>46139</v>
      </c>
      <c r="F19" s="2">
        <v>46143</v>
      </c>
      <c r="G19" s="2"/>
      <c r="H19" s="25" t="s">
        <v>51</v>
      </c>
      <c r="I19" s="14">
        <f t="shared" si="0"/>
        <v>10</v>
      </c>
      <c r="J19" s="14"/>
      <c r="K19" s="14">
        <v>10</v>
      </c>
      <c r="M19" s="14"/>
    </row>
    <row r="20" spans="1:14" x14ac:dyDescent="0.25">
      <c r="A20">
        <f t="shared" si="1"/>
        <v>12</v>
      </c>
      <c r="B20" t="s">
        <v>78</v>
      </c>
      <c r="C20" s="27" t="s">
        <v>85</v>
      </c>
      <c r="D20" s="25" t="s">
        <v>21</v>
      </c>
      <c r="E20" s="2">
        <v>46146</v>
      </c>
      <c r="F20" s="2">
        <v>46151</v>
      </c>
      <c r="G20" s="2"/>
      <c r="H20" s="25" t="s">
        <v>51</v>
      </c>
      <c r="I20" s="14">
        <f t="shared" si="0"/>
        <v>9.5</v>
      </c>
      <c r="J20" s="14">
        <v>1.5</v>
      </c>
      <c r="K20" s="14">
        <v>8</v>
      </c>
      <c r="M20" s="14"/>
    </row>
    <row r="21" spans="1:14" x14ac:dyDescent="0.25">
      <c r="A21">
        <f t="shared" si="1"/>
        <v>13</v>
      </c>
      <c r="B21" t="s">
        <v>78</v>
      </c>
      <c r="C21" s="27" t="s">
        <v>86</v>
      </c>
      <c r="D21" s="25" t="s">
        <v>21</v>
      </c>
      <c r="E21" s="2">
        <v>46146</v>
      </c>
      <c r="F21" s="2">
        <v>46151</v>
      </c>
      <c r="G21" s="2"/>
      <c r="H21" s="25" t="s">
        <v>55</v>
      </c>
      <c r="I21" s="14">
        <f t="shared" si="0"/>
        <v>12</v>
      </c>
      <c r="J21" s="14">
        <v>5</v>
      </c>
      <c r="K21" s="14">
        <v>7</v>
      </c>
      <c r="M21" s="14"/>
    </row>
    <row r="22" spans="1:14" x14ac:dyDescent="0.25">
      <c r="A22">
        <f t="shared" si="1"/>
        <v>14</v>
      </c>
      <c r="B22" t="s">
        <v>78</v>
      </c>
      <c r="C22" s="27" t="s">
        <v>87</v>
      </c>
      <c r="D22" s="25" t="s">
        <v>21</v>
      </c>
      <c r="E22" s="2"/>
      <c r="F22" s="2"/>
      <c r="G22" s="2"/>
      <c r="H22" s="25"/>
      <c r="I22" s="14">
        <f t="shared" si="0"/>
        <v>8</v>
      </c>
      <c r="J22" s="14">
        <v>4</v>
      </c>
      <c r="K22" s="14">
        <v>4</v>
      </c>
      <c r="M22" s="14"/>
    </row>
    <row r="23" spans="1:14" x14ac:dyDescent="0.25">
      <c r="D23" s="25"/>
      <c r="E23" s="2"/>
      <c r="F23" s="2"/>
      <c r="G23" s="2"/>
      <c r="H23" s="25"/>
      <c r="I23" s="14">
        <f t="shared" si="0"/>
        <v>0</v>
      </c>
      <c r="J23" s="14"/>
      <c r="K23" s="14"/>
    </row>
    <row r="24" spans="1:14" x14ac:dyDescent="0.25">
      <c r="D24" s="25"/>
      <c r="E24" s="2"/>
      <c r="F24" s="2"/>
      <c r="G24" s="2"/>
      <c r="H24" s="25"/>
      <c r="I24" s="14">
        <f t="shared" si="0"/>
        <v>0</v>
      </c>
      <c r="J24" s="14"/>
      <c r="K24" s="14"/>
    </row>
    <row r="25" spans="1:14" x14ac:dyDescent="0.25">
      <c r="C25" s="27"/>
      <c r="D25" s="25"/>
      <c r="E25" s="2"/>
      <c r="F25" s="2"/>
      <c r="G25" s="2"/>
      <c r="H25" s="25"/>
      <c r="I25" s="14">
        <f t="shared" si="0"/>
        <v>0</v>
      </c>
      <c r="J25" s="14"/>
      <c r="K25" s="14"/>
    </row>
    <row r="26" spans="1:14" x14ac:dyDescent="0.25">
      <c r="C26" s="27"/>
      <c r="D26" s="25"/>
      <c r="E26" s="2"/>
      <c r="F26" s="2"/>
      <c r="G26" s="2"/>
      <c r="H26" s="25"/>
      <c r="I26" s="14">
        <f t="shared" si="0"/>
        <v>0</v>
      </c>
      <c r="J26" s="14"/>
      <c r="K26" s="14"/>
    </row>
    <row r="27" spans="1:14" x14ac:dyDescent="0.25">
      <c r="C27" s="27"/>
      <c r="D27" s="25"/>
      <c r="E27" s="2"/>
      <c r="F27" s="2"/>
      <c r="H27" s="25"/>
      <c r="I27" s="14">
        <f t="shared" si="0"/>
        <v>0</v>
      </c>
      <c r="J27" s="14"/>
      <c r="K27" s="14"/>
    </row>
    <row r="28" spans="1:14" ht="15.75" thickBot="1" x14ac:dyDescent="0.3">
      <c r="A28" s="13" t="s">
        <v>22</v>
      </c>
      <c r="B28" s="9"/>
      <c r="C28" s="9"/>
      <c r="D28" s="9"/>
      <c r="E28" s="9"/>
      <c r="F28" s="9"/>
      <c r="G28" s="9"/>
      <c r="H28" s="9"/>
      <c r="I28" s="15">
        <f t="shared" ref="I28:N28" si="3">SUM(I8:I27)</f>
        <v>89</v>
      </c>
      <c r="J28" s="15">
        <f>SUM(J8:J27)</f>
        <v>40</v>
      </c>
      <c r="K28" s="15">
        <f t="shared" ref="J28:K28" si="4">SUM(K8:K27)</f>
        <v>49</v>
      </c>
      <c r="L28" s="15">
        <f t="shared" si="3"/>
        <v>0</v>
      </c>
      <c r="M28" s="15">
        <f t="shared" si="3"/>
        <v>0</v>
      </c>
      <c r="N28" s="15">
        <f t="shared" si="3"/>
        <v>0</v>
      </c>
    </row>
    <row r="29" spans="1:14" ht="15.75" thickTop="1" x14ac:dyDescent="0.25">
      <c r="I29" s="14"/>
      <c r="J29" s="14"/>
      <c r="K29" s="14"/>
      <c r="L29" s="14"/>
      <c r="M29" s="14"/>
      <c r="N29" s="14"/>
    </row>
    <row r="30" spans="1:14" x14ac:dyDescent="0.25">
      <c r="A30" s="1" t="s">
        <v>23</v>
      </c>
      <c r="I30" s="14"/>
      <c r="J30" s="14"/>
      <c r="K30" s="14"/>
      <c r="L30" s="14"/>
      <c r="M30" s="14"/>
      <c r="N30" s="14"/>
    </row>
    <row r="31" spans="1:14" x14ac:dyDescent="0.25">
      <c r="B31" t="s">
        <v>20</v>
      </c>
      <c r="I31" s="14">
        <f>SUM(J31:M31)</f>
        <v>0</v>
      </c>
      <c r="J31" s="14"/>
      <c r="K31" s="14"/>
      <c r="L31" s="14"/>
      <c r="M31" s="14"/>
      <c r="N31" s="14"/>
    </row>
    <row r="32" spans="1:14" x14ac:dyDescent="0.25">
      <c r="B32" t="s">
        <v>24</v>
      </c>
      <c r="I32" s="14">
        <f>SUM(J32:M32)</f>
        <v>0</v>
      </c>
      <c r="J32" s="14"/>
      <c r="K32" s="14"/>
      <c r="L32" s="14"/>
      <c r="M32" s="14"/>
      <c r="N32" s="14"/>
    </row>
    <row r="33" spans="1:14" x14ac:dyDescent="0.25">
      <c r="B33" t="s">
        <v>25</v>
      </c>
      <c r="I33" s="14">
        <f>SUM(J33:M33)</f>
        <v>0</v>
      </c>
      <c r="J33" s="14"/>
      <c r="K33" s="14"/>
      <c r="L33" s="14"/>
      <c r="M33" s="14"/>
      <c r="N33" s="14"/>
    </row>
    <row r="34" spans="1:14" x14ac:dyDescent="0.25">
      <c r="B34" t="s">
        <v>26</v>
      </c>
      <c r="I34" s="14">
        <f>SUM(J34:M34)</f>
        <v>0</v>
      </c>
      <c r="M34" s="14"/>
      <c r="N34" s="14"/>
    </row>
    <row r="35" spans="1:14" x14ac:dyDescent="0.25">
      <c r="B35" t="s">
        <v>27</v>
      </c>
      <c r="I35" s="14">
        <f>SUM(J35:M35)</f>
        <v>0</v>
      </c>
      <c r="L35" s="14"/>
      <c r="M35" s="14"/>
      <c r="N35" s="14"/>
    </row>
    <row r="37" spans="1:14" ht="15.75" thickBot="1" x14ac:dyDescent="0.3">
      <c r="A37" s="13" t="s">
        <v>28</v>
      </c>
      <c r="B37" s="9"/>
      <c r="C37" s="9"/>
      <c r="D37" s="9"/>
      <c r="E37" s="9"/>
      <c r="F37" s="9"/>
      <c r="G37" s="9"/>
      <c r="H37" s="9"/>
      <c r="I37" s="15">
        <f>SUM(I31:I36)</f>
        <v>0</v>
      </c>
      <c r="J37" s="15">
        <f>SUM(J31:J36)</f>
        <v>0</v>
      </c>
      <c r="K37" s="15">
        <f>SUM(K31:K36)</f>
        <v>0</v>
      </c>
      <c r="L37" s="15">
        <f t="shared" ref="L37:N37" si="5">SUM(L31:L36)</f>
        <v>0</v>
      </c>
      <c r="M37" s="15">
        <f t="shared" si="5"/>
        <v>0</v>
      </c>
      <c r="N37" s="15">
        <f t="shared" si="5"/>
        <v>0</v>
      </c>
    </row>
    <row r="38" spans="1:14" ht="15.75" thickTop="1" x14ac:dyDescent="0.25">
      <c r="I38" s="14"/>
      <c r="J38" s="14"/>
      <c r="K38" s="14"/>
      <c r="L38" s="14"/>
      <c r="M38" s="14"/>
      <c r="N38" s="14"/>
    </row>
    <row r="39" spans="1:14" ht="15.75" thickBot="1" x14ac:dyDescent="0.3">
      <c r="A39" s="13" t="s">
        <v>29</v>
      </c>
      <c r="B39" s="9"/>
      <c r="C39" s="9"/>
      <c r="D39" s="9"/>
      <c r="E39" s="9"/>
      <c r="F39" s="9"/>
      <c r="G39" s="9"/>
      <c r="H39" s="9"/>
      <c r="I39" s="15">
        <f>+I37+I28</f>
        <v>89</v>
      </c>
      <c r="J39" s="15">
        <f>+J37+J28</f>
        <v>40</v>
      </c>
      <c r="K39" s="15">
        <f>+K37+K28</f>
        <v>49</v>
      </c>
      <c r="L39" s="15">
        <f t="shared" ref="L39:N39" si="6">+L37+L28</f>
        <v>0</v>
      </c>
      <c r="M39" s="15">
        <f t="shared" si="6"/>
        <v>0</v>
      </c>
      <c r="N39" s="15">
        <f t="shared" si="6"/>
        <v>0</v>
      </c>
    </row>
    <row r="40" spans="1:14" ht="15.75" thickTop="1" x14ac:dyDescent="0.25"/>
    <row r="42" spans="1:14" ht="15.75" thickBot="1" x14ac:dyDescent="0.3">
      <c r="A42" s="13" t="s">
        <v>30</v>
      </c>
      <c r="B42" s="9"/>
      <c r="C42" s="9"/>
      <c r="D42" s="9"/>
      <c r="E42" s="9"/>
      <c r="F42" s="9"/>
      <c r="G42" s="9"/>
      <c r="H42" s="9"/>
      <c r="I42" s="15">
        <f>SUM(J42:N42)</f>
        <v>80</v>
      </c>
      <c r="J42" s="15">
        <v>40</v>
      </c>
      <c r="K42" s="15">
        <v>40</v>
      </c>
      <c r="L42" s="15"/>
      <c r="M42" s="15"/>
      <c r="N42" s="15"/>
    </row>
    <row r="43" spans="1:14" ht="16.5" thickTop="1" thickBot="1" x14ac:dyDescent="0.3">
      <c r="A43" s="13" t="s">
        <v>31</v>
      </c>
      <c r="B43" s="9"/>
      <c r="C43" s="9"/>
      <c r="D43" s="9"/>
      <c r="E43" s="9"/>
      <c r="F43" s="9"/>
      <c r="G43" s="9"/>
      <c r="H43" s="9"/>
      <c r="I43" s="15">
        <f>+I42-I39</f>
        <v>-9</v>
      </c>
      <c r="J43" s="15">
        <f>+J42-J39</f>
        <v>0</v>
      </c>
      <c r="K43" s="15">
        <f>+K42-K39</f>
        <v>-9</v>
      </c>
      <c r="L43" s="15">
        <f t="shared" ref="L43:M43" si="7">+L42-L39</f>
        <v>0</v>
      </c>
      <c r="M43" s="15">
        <f t="shared" si="7"/>
        <v>0</v>
      </c>
      <c r="N43" s="15"/>
    </row>
    <row r="44" spans="1:14" ht="15.75" thickTop="1" x14ac:dyDescent="0.25"/>
  </sheetData>
  <protectedRanges>
    <protectedRange sqref="M16 N15:XFD16 M17:XFD27 C17:C27 M31:XFD36 A31:I35 E22:F27 L35 A9:A27 A8:K8 M8:XFD14 J31:L33 A36:L36 G9:K27" name="Range1"/>
    <protectedRange sqref="B9:C9 B10:B27" name="Range1_1"/>
    <protectedRange sqref="D9:D27" name="Range1_2"/>
    <protectedRange sqref="E9:F21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H9:H27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D9:D27</xm:sqref>
        </x14:dataValidation>
        <x14:dataValidation type="list" allowBlank="1" showInputMessage="1" showErrorMessage="1" xr:uid="{ED9B3CB0-64DA-4DB1-92D6-1BFF8E20D73B}">
          <x14:formula1>
            <xm:f>Status!$B$26:$B$37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20" workbookViewId="0">
      <selection activeCell="B26" sqref="B26:B3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32</v>
      </c>
    </row>
    <row r="3" spans="2:3" x14ac:dyDescent="0.25">
      <c r="B3" s="20" t="s">
        <v>33</v>
      </c>
      <c r="C3" s="21" t="s">
        <v>34</v>
      </c>
    </row>
    <row r="4" spans="2:3" x14ac:dyDescent="0.25">
      <c r="B4" s="20" t="s">
        <v>35</v>
      </c>
      <c r="C4" s="21" t="s">
        <v>36</v>
      </c>
    </row>
    <row r="5" spans="2:3" x14ac:dyDescent="0.25">
      <c r="B5" s="20" t="s">
        <v>37</v>
      </c>
      <c r="C5" s="21" t="s">
        <v>38</v>
      </c>
    </row>
    <row r="6" spans="2:3" x14ac:dyDescent="0.25">
      <c r="B6" s="20" t="s">
        <v>21</v>
      </c>
      <c r="C6" s="21" t="s">
        <v>39</v>
      </c>
    </row>
    <row r="7" spans="2:3" x14ac:dyDescent="0.25">
      <c r="B7" s="20" t="s">
        <v>40</v>
      </c>
      <c r="C7" s="21" t="s">
        <v>41</v>
      </c>
    </row>
    <row r="8" spans="2:3" x14ac:dyDescent="0.25">
      <c r="B8" s="20" t="s">
        <v>42</v>
      </c>
      <c r="C8" s="21" t="s">
        <v>43</v>
      </c>
    </row>
    <row r="9" spans="2:3" x14ac:dyDescent="0.25">
      <c r="B9" s="20" t="s">
        <v>44</v>
      </c>
      <c r="C9" s="21" t="s">
        <v>45</v>
      </c>
    </row>
    <row r="10" spans="2:3" x14ac:dyDescent="0.25">
      <c r="B10" s="20" t="s">
        <v>46</v>
      </c>
      <c r="C10" s="21" t="s">
        <v>47</v>
      </c>
    </row>
    <row r="11" spans="2:3" x14ac:dyDescent="0.25">
      <c r="B11" s="20" t="s">
        <v>48</v>
      </c>
      <c r="C11" s="21" t="s">
        <v>49</v>
      </c>
    </row>
    <row r="12" spans="2:3" x14ac:dyDescent="0.25">
      <c r="B12" s="1"/>
    </row>
    <row r="14" spans="2:3" ht="16.5" x14ac:dyDescent="0.25">
      <c r="B14" s="23" t="s">
        <v>50</v>
      </c>
      <c r="C14" s="23" t="s">
        <v>32</v>
      </c>
    </row>
    <row r="15" spans="2:3" x14ac:dyDescent="0.25">
      <c r="B15" s="22" t="s">
        <v>51</v>
      </c>
      <c r="C15" s="21" t="s">
        <v>52</v>
      </c>
    </row>
    <row r="16" spans="2:3" x14ac:dyDescent="0.25">
      <c r="B16" s="22" t="s">
        <v>53</v>
      </c>
      <c r="C16" s="21" t="s">
        <v>54</v>
      </c>
    </row>
    <row r="17" spans="2:3" x14ac:dyDescent="0.25">
      <c r="B17" s="22" t="s">
        <v>55</v>
      </c>
      <c r="C17" s="21" t="s">
        <v>56</v>
      </c>
    </row>
    <row r="18" spans="2:3" x14ac:dyDescent="0.25">
      <c r="B18" s="22" t="s">
        <v>57</v>
      </c>
      <c r="C18" s="21" t="s">
        <v>58</v>
      </c>
    </row>
    <row r="19" spans="2:3" x14ac:dyDescent="0.25">
      <c r="B19" s="22" t="s">
        <v>59</v>
      </c>
      <c r="C19" s="21" t="s">
        <v>60</v>
      </c>
    </row>
    <row r="20" spans="2:3" x14ac:dyDescent="0.25">
      <c r="B20" s="22" t="s">
        <v>61</v>
      </c>
      <c r="C20" s="21" t="s">
        <v>62</v>
      </c>
    </row>
    <row r="21" spans="2:3" x14ac:dyDescent="0.25">
      <c r="B21" s="22" t="s">
        <v>63</v>
      </c>
      <c r="C21" s="21" t="s">
        <v>64</v>
      </c>
    </row>
    <row r="22" spans="2:3" x14ac:dyDescent="0.25">
      <c r="B22" s="22" t="s">
        <v>65</v>
      </c>
      <c r="C22" s="21" t="s">
        <v>66</v>
      </c>
    </row>
    <row r="26" spans="2:3" x14ac:dyDescent="0.25">
      <c r="B26" s="20" t="s">
        <v>7</v>
      </c>
    </row>
    <row r="27" spans="2:3" x14ac:dyDescent="0.25">
      <c r="B27" s="21" t="s">
        <v>88</v>
      </c>
    </row>
    <row r="28" spans="2:3" x14ac:dyDescent="0.25">
      <c r="B28" s="21" t="s">
        <v>89</v>
      </c>
    </row>
    <row r="29" spans="2:3" x14ac:dyDescent="0.25">
      <c r="B29" s="21" t="s">
        <v>90</v>
      </c>
    </row>
    <row r="30" spans="2:3" x14ac:dyDescent="0.25">
      <c r="B30" s="21" t="s">
        <v>78</v>
      </c>
    </row>
    <row r="31" spans="2:3" x14ac:dyDescent="0.25">
      <c r="B31" s="21" t="s">
        <v>91</v>
      </c>
    </row>
    <row r="32" spans="2:3" x14ac:dyDescent="0.25">
      <c r="B32" s="21" t="s">
        <v>92</v>
      </c>
    </row>
    <row r="33" spans="2:2" x14ac:dyDescent="0.25">
      <c r="B33" s="21" t="s">
        <v>93</v>
      </c>
    </row>
    <row r="34" spans="2:2" x14ac:dyDescent="0.25">
      <c r="B34" s="21" t="s">
        <v>94</v>
      </c>
    </row>
    <row r="35" spans="2:2" x14ac:dyDescent="0.25">
      <c r="B35" s="21" t="s">
        <v>95</v>
      </c>
    </row>
    <row r="36" spans="2:2" x14ac:dyDescent="0.25">
      <c r="B36" s="21" t="s">
        <v>96</v>
      </c>
    </row>
    <row r="37" spans="2:2" x14ac:dyDescent="0.25">
      <c r="B37" s="21" t="s">
        <v>97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2" sqref="A12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67</v>
      </c>
    </row>
    <row r="2" spans="1:1" s="17" customFormat="1" ht="15.75" x14ac:dyDescent="0.25">
      <c r="A2" s="18"/>
    </row>
    <row r="3" spans="1:1" s="17" customFormat="1" ht="15.75" x14ac:dyDescent="0.25">
      <c r="A3" s="16" t="s">
        <v>68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69</v>
      </c>
    </row>
    <row r="8" spans="1:1" ht="15.75" x14ac:dyDescent="0.25">
      <c r="A8" s="16" t="s">
        <v>70</v>
      </c>
    </row>
    <row r="9" spans="1:1" ht="15.75" x14ac:dyDescent="0.25">
      <c r="A9" s="16" t="s">
        <v>71</v>
      </c>
    </row>
    <row r="10" spans="1:1" ht="15.75" x14ac:dyDescent="0.25">
      <c r="A10" s="16" t="s">
        <v>72</v>
      </c>
    </row>
    <row r="11" spans="1:1" ht="15.75" x14ac:dyDescent="0.25">
      <c r="A11" s="16" t="s">
        <v>73</v>
      </c>
    </row>
    <row r="12" spans="1:1" ht="15.75" x14ac:dyDescent="0.25">
      <c r="A12" s="16" t="s">
        <v>74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2026-05-04T07:20:26Z</dcterms:modified>
  <cp:category/>
  <cp:contentStatus/>
</cp:coreProperties>
</file>