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Saloni Shah\"/>
    </mc:Choice>
  </mc:AlternateContent>
  <xr:revisionPtr revIDLastSave="0" documentId="13_ncr:1_{B2EF029B-C251-473E-B512-5F366A08B4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definedNames>
    <definedName name="_xlnm._FilterDatabase" localSheetId="0" hidden="1">WIP!$A$6:$N$14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I12" i="1"/>
  <c r="J9" i="1"/>
  <c r="I9" i="1"/>
  <c r="I26" i="1"/>
  <c r="I25" i="1" l="1"/>
  <c r="I24" i="1"/>
  <c r="I23" i="1"/>
  <c r="I13" i="1"/>
  <c r="I11" i="1"/>
  <c r="I10" i="1"/>
  <c r="L19" i="1"/>
  <c r="K19" i="1"/>
  <c r="J19" i="1"/>
  <c r="I19" i="1" l="1"/>
  <c r="I28" i="1"/>
  <c r="J28" i="1"/>
  <c r="M19" i="1" l="1"/>
  <c r="M28" i="1"/>
  <c r="L28" i="1"/>
  <c r="K28" i="1"/>
  <c r="M6" i="1"/>
  <c r="M30" i="1" l="1"/>
  <c r="M34" i="1" s="1"/>
  <c r="J30" i="1"/>
  <c r="J34" i="1" s="1"/>
  <c r="K30" i="1"/>
  <c r="K34" i="1" s="1"/>
  <c r="L30" i="1"/>
  <c r="L34" i="1" s="1"/>
  <c r="I30" i="1"/>
</calcChain>
</file>

<file path=xl/sharedStrings.xml><?xml version="1.0" encoding="utf-8"?>
<sst xmlns="http://schemas.openxmlformats.org/spreadsheetml/2006/main" count="97" uniqueCount="76">
  <si>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</si>
  <si>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</si>
  <si>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</si>
  <si>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</si>
  <si>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</si>
  <si>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</si>
  <si>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</si>
  <si>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</si>
  <si>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</si>
  <si>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</si>
  <si>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</si>
  <si>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</si>
  <si>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</si>
  <si>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</si>
  <si>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</si>
  <si>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</si>
  <si>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</si>
  <si>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</si>
  <si>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</si>
  <si>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</si>
  <si>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</si>
  <si>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</si>
  <si>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</si>
  <si>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</si>
  <si>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</si>
  <si>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</si>
  <si>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</si>
  <si>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</si>
  <si>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</si>
  <si>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</si>
  <si>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</si>
  <si>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</si>
  <si>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</si>
  <si>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</si>
  <si>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</si>
  <si>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</si>
  <si>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</si>
  <si>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</si>
  <si>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</si>
  <si>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</si>
  <si>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</si>
  <si>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</si>
  <si>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</si>
  <si>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</si>
  <si>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</si>
  <si>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</si>
  <si>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</si>
  <si>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</si>
  <si>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</si>
  <si>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</si>
  <si>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</si>
  <si>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</si>
  <si>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</si>
  <si>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</si>
  <si>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</si>
  <si>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</si>
  <si>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</si>
  <si>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</si>
  <si>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</si>
  <si>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</si>
  <si>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</si>
  <si>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</si>
  <si>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</si>
  <si>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</si>
  <si>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</si>
  <si>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</si>
  <si>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</si>
  <si>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</si>
  <si>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</si>
  <si>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</si>
  <si>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</si>
  <si>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</si>
  <si>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Hemal Panchal</t>
  </si>
  <si>
    <t>Supervisor</t>
  </si>
  <si>
    <t>Saloni Shah</t>
  </si>
  <si>
    <t>Clark &amp; Sons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</si>
</sst>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zoomScaleNormal="100" workbookViewId="0">
      <pane xSplit="2" ySplit="7" topLeftCell="D8" activePane="bottomRight" state="frozen"/>
      <selection pane="topRight" activeCell="C1" sqref="C1"/>
      <selection pane="bottomLeft" activeCell="A7" sqref="A7"/>
      <selection pane="bottomRight" activeCell="M8" sqref="M8"/>
    </sheetView>
  </sheetViews>
  <sheetFormatPr defaultRowHeight="15" x14ac:dyDescent="0.25"/>
  <cols>
    <col min="1" max="1" width="24.5703125" bestFit="1" customWidth="1"/>
    <col min="2" max="3" width="25.140625" customWidth="1"/>
    <col min="4" max="4" width="31.85546875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  <col min="14" max="14" width="10.7109375" bestFit="1" customWidth="1"/>
  </cols>
  <sheetData>
    <row r="1" spans="1:14" x14ac:dyDescent="0.25">
      <c r="A1" s="1" t="s">
        <v>0</v>
      </c>
      <c r="H1" s="10"/>
    </row>
    <row r="2" spans="1:14" x14ac:dyDescent="0.25">
      <c r="A2" s="1" t="s">
        <v>1</v>
      </c>
      <c r="B2" s="8" t="s">
        <v>72</v>
      </c>
      <c r="C2" s="8"/>
      <c r="H2" s="1"/>
      <c r="I2" s="1"/>
      <c r="J2" s="9"/>
      <c r="K2" s="9"/>
      <c r="L2" s="9"/>
      <c r="M2" s="9"/>
    </row>
    <row r="3" spans="1:14" x14ac:dyDescent="0.25">
      <c r="A3" s="1" t="s">
        <v>2</v>
      </c>
      <c r="B3" s="8" t="s">
        <v>73</v>
      </c>
      <c r="C3" s="8"/>
      <c r="H3" s="1"/>
      <c r="I3" s="1"/>
      <c r="J3" s="9"/>
      <c r="K3" s="9"/>
      <c r="L3" s="9"/>
      <c r="M3" s="9"/>
    </row>
    <row r="4" spans="1:14" x14ac:dyDescent="0.25">
      <c r="A4" s="1" t="s">
        <v>3</v>
      </c>
      <c r="B4" s="8" t="s">
        <v>74</v>
      </c>
      <c r="C4" s="8"/>
      <c r="H4" s="1"/>
      <c r="I4" s="1"/>
      <c r="J4" s="9"/>
      <c r="K4" s="9"/>
      <c r="L4" s="9"/>
      <c r="M4" s="9"/>
    </row>
    <row r="5" spans="1:14" x14ac:dyDescent="0.25">
      <c r="A5" s="1"/>
      <c r="B5" s="8"/>
      <c r="C5" s="8"/>
    </row>
    <row r="6" spans="1:14" x14ac:dyDescent="0.25">
      <c r="I6" s="6" t="s">
        <v>4</v>
      </c>
      <c r="J6" s="2">
        <v>46146</v>
      </c>
      <c r="K6" s="2">
        <v>46153</v>
      </c>
      <c r="L6" s="2">
        <v>46160</v>
      </c>
      <c r="M6" s="2">
        <f>L6+7</f>
        <v>46167</v>
      </c>
      <c r="N6" s="2"/>
    </row>
    <row r="7" spans="1:14" ht="30" x14ac:dyDescent="0.25">
      <c r="A7" s="3" t="s">
        <v>5</v>
      </c>
      <c r="B7" s="3" t="s">
        <v>6</v>
      </c>
      <c r="C7" s="3" t="s">
        <v>7</v>
      </c>
      <c r="D7" s="22" t="s">
        <v>39</v>
      </c>
      <c r="E7" s="3" t="s">
        <v>8</v>
      </c>
      <c r="F7" s="3" t="s">
        <v>9</v>
      </c>
      <c r="G7" s="3" t="s">
        <v>10</v>
      </c>
      <c r="H7" s="22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 spans="1:14" x14ac:dyDescent="0.25">
      <c r="A8" s="5" t="s">
        <v>17</v>
      </c>
      <c r="B8" s="4"/>
      <c r="C8" s="4"/>
      <c r="D8" s="22"/>
      <c r="E8" s="4"/>
      <c r="F8" s="4"/>
      <c r="G8" s="4"/>
      <c r="H8" s="22"/>
      <c r="I8" s="4"/>
      <c r="J8" s="4"/>
      <c r="K8" s="4"/>
      <c r="L8" s="4"/>
      <c r="M8" s="4"/>
    </row>
    <row r="9" spans="1:14" x14ac:dyDescent="0.25">
      <c r="A9">
        <v>1</v>
      </c>
      <c r="B9" t="s">
        <v>75</v>
      </c>
      <c r="C9" t="s">
        <v>75</v>
      </c>
      <c r="D9" s="23" t="s">
        <v>48</v>
      </c>
      <c r="E9" s="2">
        <v>46090</v>
      </c>
      <c r="F9" s="2"/>
      <c r="G9" s="2"/>
      <c r="H9" s="23" t="s">
        <v>31</v>
      </c>
      <c r="I9" s="12">
        <f>SUM(J9:M9)</f>
        <v>57</v>
      </c>
      <c r="J9" s="12">
        <f>19-4</f>
        <v>15</v>
      </c>
      <c r="K9" s="12">
        <v>19</v>
      </c>
      <c r="L9" s="12">
        <v>7</v>
      </c>
      <c r="M9" s="12">
        <v>16</v>
      </c>
    </row>
    <row r="10" spans="1:14" x14ac:dyDescent="0.25">
      <c r="A10">
        <v>2</v>
      </c>
      <c r="B10" t="s">
        <v>75</v>
      </c>
      <c r="C10" t="s">
        <v>75</v>
      </c>
      <c r="D10" s="23" t="s">
        <v>51</v>
      </c>
      <c r="E10" s="2">
        <v>46090</v>
      </c>
      <c r="F10" s="2"/>
      <c r="G10" s="2"/>
      <c r="H10" s="23" t="s">
        <v>38</v>
      </c>
      <c r="I10" s="12">
        <f>SUM(J10:M10)</f>
        <v>59.5</v>
      </c>
      <c r="J10" s="12">
        <v>14</v>
      </c>
      <c r="K10" s="12">
        <v>14</v>
      </c>
      <c r="L10" s="12">
        <v>15</v>
      </c>
      <c r="M10" s="12">
        <v>16.5</v>
      </c>
    </row>
    <row r="11" spans="1:14" x14ac:dyDescent="0.25">
      <c r="A11">
        <v>3</v>
      </c>
      <c r="B11" t="s">
        <v>75</v>
      </c>
      <c r="C11" t="s">
        <v>75</v>
      </c>
      <c r="D11" s="23" t="s">
        <v>41</v>
      </c>
      <c r="E11" s="2">
        <v>46090</v>
      </c>
      <c r="G11" s="2"/>
      <c r="H11" s="23" t="s">
        <v>31</v>
      </c>
      <c r="I11" s="12">
        <f>SUM(J11:M11)</f>
        <v>19.5</v>
      </c>
      <c r="J11" s="12">
        <v>5.5</v>
      </c>
      <c r="K11" s="12">
        <v>4.5</v>
      </c>
      <c r="L11" s="12">
        <v>4</v>
      </c>
      <c r="M11" s="12">
        <v>5.5</v>
      </c>
    </row>
    <row r="12" spans="1:14" x14ac:dyDescent="0.25">
      <c r="A12">
        <v>4</v>
      </c>
      <c r="B12" t="s">
        <v>75</v>
      </c>
      <c r="C12" t="s">
        <v>75</v>
      </c>
      <c r="D12" s="23" t="s">
        <v>46</v>
      </c>
      <c r="E12" s="2">
        <v>46090</v>
      </c>
      <c r="F12" s="2"/>
      <c r="G12" s="2"/>
      <c r="H12" s="23" t="s">
        <v>31</v>
      </c>
      <c r="I12" s="12">
        <f>SUM(J12:M12)</f>
        <v>4</v>
      </c>
      <c r="J12" s="12">
        <v>1</v>
      </c>
      <c r="K12" s="12">
        <v>1</v>
      </c>
      <c r="L12" s="12">
        <v>1</v>
      </c>
      <c r="M12" s="12">
        <v>1</v>
      </c>
    </row>
    <row r="13" spans="1:14" x14ac:dyDescent="0.25">
      <c r="A13">
        <v>5</v>
      </c>
      <c r="B13" t="s">
        <v>75</v>
      </c>
      <c r="C13" t="s">
        <v>75</v>
      </c>
      <c r="D13" s="23" t="s">
        <v>55</v>
      </c>
      <c r="E13" s="2">
        <v>46090</v>
      </c>
      <c r="H13" s="23" t="s">
        <v>18</v>
      </c>
      <c r="I13" s="12">
        <f>SUM(J13:M13)</f>
        <v>16</v>
      </c>
      <c r="J13" s="12">
        <v>4</v>
      </c>
      <c r="L13">
        <v>12</v>
      </c>
      <c r="M13">
        <v>0</v>
      </c>
    </row>
    <row r="14" spans="1:14" x14ac:dyDescent="0.25">
      <c r="D14" s="23"/>
      <c r="E14" s="2"/>
      <c r="H14" s="23"/>
    </row>
    <row r="15" spans="1:14" x14ac:dyDescent="0.25">
      <c r="D15" s="23"/>
      <c r="H15" s="23"/>
    </row>
    <row r="16" spans="1:14" x14ac:dyDescent="0.25">
      <c r="D16" s="23"/>
      <c r="H16" s="23"/>
    </row>
    <row r="17" spans="1:13" x14ac:dyDescent="0.25">
      <c r="D17" s="23"/>
      <c r="H17" s="23"/>
    </row>
    <row r="18" spans="1:13" x14ac:dyDescent="0.25">
      <c r="D18" s="23"/>
      <c r="H18" s="23"/>
    </row>
    <row r="19" spans="1:13" ht="15.75" thickBot="1" x14ac:dyDescent="0.3">
      <c r="A19" s="11" t="s">
        <v>19</v>
      </c>
      <c r="B19" s="7"/>
      <c r="C19" s="7"/>
      <c r="D19" s="7"/>
      <c r="E19" s="7"/>
      <c r="F19" s="7"/>
      <c r="G19" s="7"/>
      <c r="H19" s="7"/>
      <c r="I19" s="13">
        <f>SUM(I9:I18)</f>
        <v>156</v>
      </c>
      <c r="J19" s="13">
        <f>SUM(J9:J18)</f>
        <v>39.5</v>
      </c>
      <c r="K19" s="13">
        <f>SUM(K9:K18)</f>
        <v>38.5</v>
      </c>
      <c r="L19" s="13">
        <f>SUM(L9:L18)</f>
        <v>39</v>
      </c>
      <c r="M19" s="13">
        <f>SUM(M8:M12)</f>
        <v>39</v>
      </c>
    </row>
    <row r="20" spans="1:13" ht="15.75" thickTop="1" x14ac:dyDescent="0.25">
      <c r="I20" s="12"/>
      <c r="J20" s="12"/>
      <c r="K20" s="12"/>
      <c r="L20" s="12"/>
      <c r="M20" s="12"/>
    </row>
    <row r="21" spans="1:13" x14ac:dyDescent="0.25">
      <c r="A21" s="1" t="s">
        <v>20</v>
      </c>
      <c r="I21" s="12"/>
      <c r="J21" s="12"/>
      <c r="K21" s="12"/>
      <c r="L21" s="12"/>
      <c r="M21" s="12"/>
    </row>
    <row r="22" spans="1:13" x14ac:dyDescent="0.25">
      <c r="B22" t="s">
        <v>21</v>
      </c>
      <c r="I22" s="12">
        <f>SUM(J22:M22)</f>
        <v>4</v>
      </c>
      <c r="J22" s="12">
        <v>0.5</v>
      </c>
      <c r="K22" s="12">
        <v>1.5</v>
      </c>
      <c r="L22" s="12">
        <v>1</v>
      </c>
      <c r="M22" s="12">
        <v>1</v>
      </c>
    </row>
    <row r="23" spans="1:13" x14ac:dyDescent="0.25">
      <c r="B23" t="s">
        <v>22</v>
      </c>
      <c r="I23" s="12">
        <f>SUM(J23:M23)</f>
        <v>0</v>
      </c>
      <c r="J23" s="12">
        <v>0</v>
      </c>
      <c r="K23" s="12"/>
      <c r="L23" s="12"/>
      <c r="M23" s="12"/>
    </row>
    <row r="24" spans="1:13" x14ac:dyDescent="0.25">
      <c r="B24" t="s">
        <v>23</v>
      </c>
      <c r="I24" s="12">
        <f>SUM(J24:M24)</f>
        <v>0</v>
      </c>
      <c r="J24" s="12"/>
      <c r="K24" s="12"/>
      <c r="L24" s="12"/>
      <c r="M24" s="12"/>
    </row>
    <row r="25" spans="1:13" x14ac:dyDescent="0.25">
      <c r="B25" t="s">
        <v>24</v>
      </c>
      <c r="I25" s="12">
        <f>SUM(J25:M25)</f>
        <v>0</v>
      </c>
      <c r="J25" s="12">
        <v>0</v>
      </c>
      <c r="K25" s="12"/>
      <c r="L25" s="12"/>
      <c r="M25" s="12"/>
    </row>
    <row r="26" spans="1:13" x14ac:dyDescent="0.25">
      <c r="B26" t="s">
        <v>25</v>
      </c>
      <c r="I26" s="12">
        <f>SUM(J26:M26)</f>
        <v>0</v>
      </c>
      <c r="J26" s="12">
        <v>0</v>
      </c>
      <c r="K26" s="12">
        <v>0</v>
      </c>
      <c r="L26" s="12">
        <v>0</v>
      </c>
      <c r="M26" s="12">
        <v>0</v>
      </c>
    </row>
    <row r="28" spans="1:13" ht="15.75" thickBot="1" x14ac:dyDescent="0.3">
      <c r="A28" s="11" t="s">
        <v>26</v>
      </c>
      <c r="B28" s="7"/>
      <c r="C28" s="7"/>
      <c r="D28" s="7"/>
      <c r="E28" s="7"/>
      <c r="F28" s="7"/>
      <c r="G28" s="7"/>
      <c r="H28" s="7"/>
      <c r="I28" s="13">
        <f>SUM(I22:I27)</f>
        <v>4</v>
      </c>
      <c r="J28" s="13">
        <f>SUM(J22:J27)</f>
        <v>0.5</v>
      </c>
      <c r="K28" s="13">
        <f t="shared" ref="K28:M28" si="0">SUM(K22:K27)</f>
        <v>1.5</v>
      </c>
      <c r="L28" s="13">
        <f t="shared" si="0"/>
        <v>1</v>
      </c>
      <c r="M28" s="13">
        <f t="shared" si="0"/>
        <v>1</v>
      </c>
    </row>
    <row r="29" spans="1:13" ht="15.75" thickTop="1" x14ac:dyDescent="0.25">
      <c r="I29" s="12"/>
      <c r="J29" s="12"/>
      <c r="K29" s="12"/>
      <c r="L29" s="12"/>
      <c r="M29" s="12"/>
    </row>
    <row r="30" spans="1:13" ht="15.75" thickBot="1" x14ac:dyDescent="0.3">
      <c r="A30" s="11" t="s">
        <v>27</v>
      </c>
      <c r="B30" s="7"/>
      <c r="C30" s="7"/>
      <c r="D30" s="7"/>
      <c r="E30" s="7"/>
      <c r="F30" s="7"/>
      <c r="G30" s="7"/>
      <c r="H30" s="7"/>
      <c r="I30" s="13">
        <f>+I28+I19</f>
        <v>160</v>
      </c>
      <c r="J30" s="13">
        <f t="shared" ref="J30:M30" si="1">+J28+J19</f>
        <v>40</v>
      </c>
      <c r="K30" s="13">
        <f t="shared" si="1"/>
        <v>40</v>
      </c>
      <c r="L30" s="13">
        <f t="shared" si="1"/>
        <v>40</v>
      </c>
      <c r="M30" s="13">
        <f t="shared" si="1"/>
        <v>40</v>
      </c>
    </row>
    <row r="31" spans="1:13" ht="15.75" thickTop="1" x14ac:dyDescent="0.25"/>
    <row r="33" spans="1:13" ht="15.75" thickBot="1" x14ac:dyDescent="0.3">
      <c r="A33" s="11" t="s">
        <v>28</v>
      </c>
      <c r="B33" s="7"/>
      <c r="C33" s="7"/>
      <c r="D33" s="7"/>
      <c r="E33" s="7"/>
      <c r="F33" s="7"/>
      <c r="G33" s="7"/>
      <c r="H33" s="7"/>
      <c r="I33" s="13"/>
      <c r="J33" s="13">
        <v>40</v>
      </c>
      <c r="K33" s="13">
        <v>40</v>
      </c>
      <c r="L33" s="13">
        <v>40</v>
      </c>
      <c r="M33" s="13">
        <v>40</v>
      </c>
    </row>
    <row r="34" spans="1:13" ht="16.5" thickTop="1" thickBot="1" x14ac:dyDescent="0.3">
      <c r="A34" s="11" t="s">
        <v>29</v>
      </c>
      <c r="B34" s="7"/>
      <c r="C34" s="7"/>
      <c r="D34" s="7"/>
      <c r="E34" s="7"/>
      <c r="F34" s="7"/>
      <c r="G34" s="7"/>
      <c r="H34" s="7"/>
      <c r="I34" s="13"/>
      <c r="J34" s="13">
        <f>+J33-J30</f>
        <v>0</v>
      </c>
      <c r="K34" s="13">
        <f t="shared" ref="K34:M34" si="2">+K33-K30</f>
        <v>0</v>
      </c>
      <c r="L34" s="13">
        <f t="shared" si="2"/>
        <v>0</v>
      </c>
      <c r="M34" s="13">
        <f t="shared" si="2"/>
        <v>0</v>
      </c>
    </row>
    <row r="35" spans="1:13" ht="15.75" thickTop="1" x14ac:dyDescent="0.25"/>
  </sheetData>
  <protectedRanges>
    <protectedRange sqref="E14:M18 A15:C18 A9:A14 G9:I10 N8:XFD18 A22:XFD27 F11:I12 J9:M12 F13:M13 A8:M8" name="Range1"/>
    <protectedRange sqref="B9:C14" name="Range1_1"/>
    <protectedRange sqref="D9:D18" name="Range1_2"/>
    <protectedRange sqref="E9:F10 E11:E13" name="Range1_3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74BA8BDB-53D6-49C3-ABCC-E46D7EAA39F8}">
          <x14:formula1>
            <xm:f>Status!$B$14:$B$21</xm:f>
          </x14:formula1>
          <xm:sqref>H9:H18</xm:sqref>
        </x14:dataValidation>
        <x14:dataValidation type="list" allowBlank="1" showInputMessage="1" showErrorMessage="1" xr:uid="{477E9492-0757-4148-ABBB-6EC6E83F516C}">
          <x14:formula1>
            <xm:f>Status!$B$3:$B$10</xm:f>
          </x14:formula1>
          <xm:sqref>D9:D18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1"/>
  <sheetViews>
    <sheetView workbookViewId="0"/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1" t="s">
        <v>39</v>
      </c>
      <c r="C2" s="21" t="s">
        <v>44</v>
      </c>
    </row>
    <row r="3" spans="2:3" x14ac:dyDescent="0.25">
      <c r="B3" s="18" t="s">
        <v>40</v>
      </c>
      <c r="C3" s="19" t="s">
        <v>45</v>
      </c>
    </row>
    <row r="4" spans="2:3" x14ac:dyDescent="0.25">
      <c r="B4" s="18" t="s">
        <v>46</v>
      </c>
      <c r="C4" s="19" t="s">
        <v>47</v>
      </c>
    </row>
    <row r="5" spans="2:3" x14ac:dyDescent="0.25">
      <c r="B5" s="18" t="s">
        <v>48</v>
      </c>
      <c r="C5" s="19" t="s">
        <v>49</v>
      </c>
    </row>
    <row r="6" spans="2:3" x14ac:dyDescent="0.25">
      <c r="B6" s="18" t="s">
        <v>41</v>
      </c>
      <c r="C6" s="19" t="s">
        <v>50</v>
      </c>
    </row>
    <row r="7" spans="2:3" x14ac:dyDescent="0.25">
      <c r="B7" s="18" t="s">
        <v>51</v>
      </c>
      <c r="C7" s="19" t="s">
        <v>52</v>
      </c>
    </row>
    <row r="8" spans="2:3" x14ac:dyDescent="0.25">
      <c r="B8" s="18" t="s">
        <v>42</v>
      </c>
      <c r="C8" s="19" t="s">
        <v>53</v>
      </c>
    </row>
    <row r="9" spans="2:3" x14ac:dyDescent="0.25">
      <c r="B9" s="18" t="s">
        <v>43</v>
      </c>
      <c r="C9" s="19" t="s">
        <v>54</v>
      </c>
    </row>
    <row r="10" spans="2:3" x14ac:dyDescent="0.25">
      <c r="B10" s="18" t="s">
        <v>55</v>
      </c>
      <c r="C10" s="19" t="s">
        <v>56</v>
      </c>
    </row>
    <row r="13" spans="2:3" ht="16.5" x14ac:dyDescent="0.25">
      <c r="B13" s="21" t="s">
        <v>57</v>
      </c>
      <c r="C13" s="21" t="s">
        <v>44</v>
      </c>
    </row>
    <row r="14" spans="2:3" x14ac:dyDescent="0.25">
      <c r="B14" s="20" t="s">
        <v>30</v>
      </c>
      <c r="C14" s="19" t="s">
        <v>58</v>
      </c>
    </row>
    <row r="15" spans="2:3" x14ac:dyDescent="0.25">
      <c r="B15" s="20" t="s">
        <v>59</v>
      </c>
      <c r="C15" s="19" t="s">
        <v>60</v>
      </c>
    </row>
    <row r="16" spans="2:3" x14ac:dyDescent="0.25">
      <c r="B16" s="20" t="s">
        <v>38</v>
      </c>
      <c r="C16" s="19" t="s">
        <v>61</v>
      </c>
    </row>
    <row r="17" spans="2:3" x14ac:dyDescent="0.25">
      <c r="B17" s="20" t="s">
        <v>18</v>
      </c>
      <c r="C17" s="19" t="s">
        <v>62</v>
      </c>
    </row>
    <row r="18" spans="2:3" x14ac:dyDescent="0.25">
      <c r="B18" s="20" t="s">
        <v>31</v>
      </c>
      <c r="C18" s="19" t="s">
        <v>63</v>
      </c>
    </row>
    <row r="19" spans="2:3" x14ac:dyDescent="0.25">
      <c r="B19" s="20" t="s">
        <v>32</v>
      </c>
      <c r="C19" s="19" t="s">
        <v>64</v>
      </c>
    </row>
    <row r="20" spans="2:3" x14ac:dyDescent="0.25">
      <c r="B20" s="20" t="s">
        <v>65</v>
      </c>
      <c r="C20" s="19" t="s">
        <v>66</v>
      </c>
    </row>
    <row r="21" spans="2:3" x14ac:dyDescent="0.25">
      <c r="B21" s="20" t="s">
        <v>37</v>
      </c>
      <c r="C21" s="19" t="s">
        <v>67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9" sqref="A9"/>
    </sheetView>
  </sheetViews>
  <sheetFormatPr defaultRowHeight="15" x14ac:dyDescent="0.25"/>
  <cols>
    <col min="1" max="1" width="124.28515625" bestFit="1" customWidth="1"/>
  </cols>
  <sheetData>
    <row r="1" spans="1:1" s="15" customFormat="1" ht="16.5" thickBot="1" x14ac:dyDescent="0.3">
      <c r="A1" s="17" t="s">
        <v>33</v>
      </c>
    </row>
    <row r="2" spans="1:1" s="15" customFormat="1" ht="15.75" x14ac:dyDescent="0.25">
      <c r="A2" s="16"/>
    </row>
    <row r="3" spans="1:1" s="15" customFormat="1" ht="15.75" x14ac:dyDescent="0.25">
      <c r="A3" s="14" t="s">
        <v>70</v>
      </c>
    </row>
    <row r="4" spans="1:1" s="15" customFormat="1" ht="15.75" x14ac:dyDescent="0.25">
      <c r="A4" s="16"/>
    </row>
    <row r="5" spans="1:1" s="15" customFormat="1" ht="15.75" x14ac:dyDescent="0.25">
      <c r="A5" s="16"/>
    </row>
    <row r="6" spans="1:1" s="15" customFormat="1" ht="15.75" x14ac:dyDescent="0.25">
      <c r="A6" s="16"/>
    </row>
    <row r="7" spans="1:1" ht="15.75" x14ac:dyDescent="0.25">
      <c r="A7" s="14" t="s">
        <v>34</v>
      </c>
    </row>
    <row r="8" spans="1:1" ht="15.75" x14ac:dyDescent="0.25">
      <c r="A8" s="14" t="s">
        <v>71</v>
      </c>
    </row>
    <row r="9" spans="1:1" ht="15.75" x14ac:dyDescent="0.25">
      <c r="A9" s="14" t="s">
        <v>69</v>
      </c>
    </row>
    <row r="10" spans="1:1" ht="15.75" x14ac:dyDescent="0.25">
      <c r="A10" s="14" t="s">
        <v>35</v>
      </c>
    </row>
    <row r="11" spans="1:1" ht="15.75" x14ac:dyDescent="0.25">
      <c r="A11" s="14" t="s">
        <v>36</v>
      </c>
    </row>
    <row r="12" spans="1:1" ht="15.75" x14ac:dyDescent="0.25">
      <c r="A12" s="14" t="s">
        <v>68</v>
      </c>
    </row>
    <row r="14" spans="1:1" x14ac:dyDescent="0.25">
      <c r="A14" s="24"/>
    </row>
    <row r="15" spans="1:1" x14ac:dyDescent="0.25">
      <c r="A15" s="24"/>
    </row>
    <row r="16" spans="1:1" x14ac:dyDescent="0.25">
      <c r="A16" s="2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Hemal Panchal</cp:lastModifiedBy>
  <cp:revision/>
  <dcterms:created xsi:type="dcterms:W3CDTF">2015-06-05T18:17:20Z</dcterms:created>
  <dcterms:modified xsi:type="dcterms:W3CDTF">2026-05-01T10:26:44Z</dcterms:modified>
  <cp:category/>
  <cp:contentStatus/>
</cp:coreProperties>
</file>