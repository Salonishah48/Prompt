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2DCA74FC-9B13-43F4-8FD7-26D3CF777D79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1" l="1"/>
  <c r="I15" i="1" l="1"/>
  <c r="I16" i="1"/>
  <c r="I17" i="1"/>
  <c r="I18" i="1"/>
  <c r="I19" i="1"/>
  <c r="I20" i="1"/>
  <c r="I21" i="1"/>
  <c r="I22" i="1"/>
  <c r="N65" i="1"/>
  <c r="N56" i="1"/>
  <c r="M65" i="1"/>
  <c r="L65" i="1"/>
  <c r="N6" i="1"/>
  <c r="M6" i="1"/>
  <c r="L6" i="1"/>
  <c r="L56" i="1"/>
  <c r="L67" i="1" s="1"/>
  <c r="L71" i="1" s="1"/>
  <c r="K6" i="1"/>
  <c r="J56" i="1"/>
  <c r="J65" i="1"/>
  <c r="I60" i="1"/>
  <c r="I61" i="1"/>
  <c r="I62" i="1"/>
  <c r="I10" i="1"/>
  <c r="I11" i="1"/>
  <c r="I12" i="1"/>
  <c r="I13" i="1"/>
  <c r="I14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9" i="1"/>
  <c r="I59" i="1"/>
  <c r="N67" i="1" l="1"/>
  <c r="N71" i="1" s="1"/>
  <c r="M67" i="1"/>
  <c r="M71" i="1" s="1"/>
  <c r="J67" i="1"/>
  <c r="J71" i="1" s="1"/>
  <c r="K56" i="1"/>
  <c r="K65" i="1"/>
  <c r="K67" i="1" l="1"/>
  <c r="K71" i="1" s="1"/>
  <c r="I65" i="1"/>
  <c r="I56" i="1" l="1"/>
  <c r="I67" i="1" l="1"/>
</calcChain>
</file>

<file path=xl/sharedStrings.xml><?xml version="1.0" encoding="utf-8"?>
<sst xmlns="http://schemas.openxmlformats.org/spreadsheetml/2006/main" count="300" uniqueCount="156">
  <si>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</si>
  <si>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</si>
  <si>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</si>
  <si>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</si>
  <si>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</si>
  <si>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</si>
  <si>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</si>
  <si>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</si>
  <si>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</si>
  <si>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</si>
  <si>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</si>
  <si>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</si>
  <si>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</si>
  <si>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</si>
  <si>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</si>
  <si>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</si>
  <si>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</si>
  <si>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</si>
  <si>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</si>
  <si>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</si>
  <si>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</si>
  <si>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</si>
  <si>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</si>
  <si>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</si>
  <si>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</si>
  <si>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</si>
  <si>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</si>
  <si>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</si>
  <si>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</si>
  <si>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</si>
  <si>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</si>
  <si>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</si>
  <si>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</si>
  <si>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</si>
  <si>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</si>
  <si>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</si>
  <si>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</si>
  <si>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</si>
  <si>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</si>
  <si>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</si>
  <si>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</si>
  <si>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</si>
  <si>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</si>
  <si>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</si>
  <si>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</si>
  <si>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</si>
  <si>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</si>
  <si>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</si>
  <si>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</si>
  <si>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</si>
  <si>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</si>
  <si>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</si>
  <si>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</si>
  <si>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</si>
  <si>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</si>
  <si>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</si>
  <si>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</si>
  <si>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</si>
  <si>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</si>
  <si>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</si>
  <si>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</si>
  <si>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</si>
  <si>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</si>
  <si>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</si>
  <si>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</si>
  <si>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</si>
  <si>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</si>
  <si>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</si>
  <si>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</si>
  <si>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</si>
  <si>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</si>
  <si>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</si>
  <si>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Faisal Shaikh</t>
  </si>
  <si>
    <t>Semi Senior</t>
  </si>
  <si>
    <t>Jainam Appa</t>
  </si>
  <si>
    <t>Taxcap Business Services Inc.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</si>
  <si>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</si>
  <si>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</si>
  <si>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</si>
  <si>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</si>
  <si>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</si>
  <si>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</si>
  <si>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</si>
  <si>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</si>
  <si>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</si>
  <si>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</si>
  <si>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</si>
  <si>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</si>
  <si>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</si>
  <si>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</si>
  <si>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</si>
  <si>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</si>
  <si>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</si>
  <si>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</si>
  <si>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</si>
  <si>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</si>
  <si>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</si>
  <si>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</si>
  <si>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</si>
  <si>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</si>
  <si>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</si>
  <si>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</si>
  <si>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</si>
  <si>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</si>
  <si>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</si>
  <si>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</si>
  <si>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Document Download</t>
  </si>
  <si>
    <t>CID Time entery</t>
  </si>
  <si>
    <t>Missing Document Download</t>
  </si>
  <si>
    <t>Anderson Welding</t>
  </si>
  <si>
    <t>Azucanela LLC</t>
  </si>
  <si>
    <t>Central Tire Service</t>
  </si>
  <si>
    <t>Blue Flame Cigar Lounge</t>
  </si>
  <si>
    <t>Corridor Flow</t>
  </si>
  <si>
    <t>Mo's Place</t>
  </si>
  <si>
    <t>Dinah's Comfort Kitchen</t>
  </si>
  <si>
    <t>Curry Up Pizza</t>
  </si>
  <si>
    <t>Locale 90</t>
  </si>
  <si>
    <t>Corner Joint LLC</t>
  </si>
  <si>
    <t>Mambi Restaurant</t>
  </si>
  <si>
    <t>Master Collision</t>
  </si>
  <si>
    <t>Hinano Café</t>
  </si>
  <si>
    <t>Microfareds</t>
  </si>
  <si>
    <t>Original Rinaldi</t>
  </si>
  <si>
    <t>Stuttgart Automotive</t>
  </si>
  <si>
    <t>Tangaroa Fish market</t>
  </si>
  <si>
    <t>Renaissance Realty Group</t>
  </si>
  <si>
    <t>Britts BBQ</t>
  </si>
  <si>
    <t>Yahir LLC</t>
  </si>
  <si>
    <t>Tesler Salon</t>
  </si>
  <si>
    <t>Natraliart Jamaican Market &amp; Restaurant</t>
  </si>
  <si>
    <t>Unique Automotive</t>
  </si>
  <si>
    <t>Beeps Diner- Jorita Food Services Inc</t>
  </si>
  <si>
    <t>Circle Bar</t>
  </si>
  <si>
    <t>Del Oliva</t>
  </si>
  <si>
    <t>Alliance Auto Care , Inc</t>
  </si>
  <si>
    <t>Element 13 - (Right Network - QBD)</t>
  </si>
  <si>
    <t>The Court Cafe</t>
  </si>
  <si>
    <t>Lobster &amp; Beer - NASA</t>
  </si>
  <si>
    <t>Lobster &amp; Beer (Wingman)</t>
  </si>
  <si>
    <t>Beeps Fast Food Services</t>
  </si>
  <si>
    <t>Gary's Pit Stop</t>
  </si>
  <si>
    <t>L-Spec</t>
  </si>
  <si>
    <t>The Print Company</t>
  </si>
  <si>
    <t>Variety Vault Imports LLC</t>
  </si>
  <si>
    <t>South Bay Collision Center</t>
  </si>
  <si>
    <t>Busaba Thai</t>
  </si>
  <si>
    <t>Summerwood Backyard</t>
  </si>
  <si>
    <t>Big O's Silk Screen Shop</t>
  </si>
  <si>
    <t>Screen Cure</t>
  </si>
  <si>
    <t>Casa Gamino #3</t>
  </si>
  <si>
    <t>LP Hi Tech Cleaners (Deposit goes to income account)(All sales non-taxable)</t>
  </si>
  <si>
    <t>Sion's Auto Center</t>
  </si>
  <si>
    <t>Week 2</t>
  </si>
  <si>
    <t>Week 3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</si>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</sst>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I17" sqref="I17"/>
    </sheetView>
  </sheetViews>
  <sheetFormatPr defaultRowHeight="15" x14ac:dyDescent="0.25"/>
  <cols>
    <col min="1" max="1" width="28.85546875" bestFit="1" customWidth="1"/>
    <col min="2" max="2" width="27" bestFit="1" customWidth="1"/>
    <col min="3" max="3" width="69.28515625" bestFit="1" customWidth="1"/>
    <col min="4" max="4" width="25.140625" bestFit="1" customWidth="1"/>
    <col min="5" max="5" width="10.7109375" bestFit="1" customWidth="1"/>
    <col min="6" max="6" width="9" bestFit="1" customWidth="1"/>
    <col min="7" max="7" width="7.28515625" customWidth="1"/>
    <col min="8" max="8" width="10.85546875" bestFit="1" customWidth="1"/>
    <col min="9" max="9" width="20.140625" bestFit="1" customWidth="1"/>
    <col min="10" max="14" width="10.7109375" bestFit="1" customWidth="1"/>
  </cols>
  <sheetData>
    <row r="1" spans="1:14" x14ac:dyDescent="0.25">
      <c r="A1" s="1" t="s">
        <v>0</v>
      </c>
      <c r="H1" s="9"/>
    </row>
    <row r="2" spans="1:14" x14ac:dyDescent="0.25">
      <c r="A2" s="1" t="s">
        <v>1</v>
      </c>
      <c r="B2" s="8" t="s">
        <v>72</v>
      </c>
      <c r="C2" s="8"/>
      <c r="H2" s="1"/>
      <c r="I2" s="1"/>
    </row>
    <row r="3" spans="1:14" x14ac:dyDescent="0.25">
      <c r="A3" s="1" t="s">
        <v>2</v>
      </c>
      <c r="B3" s="8" t="s">
        <v>73</v>
      </c>
      <c r="C3" s="8"/>
      <c r="H3" s="1"/>
      <c r="I3" s="1"/>
    </row>
    <row r="4" spans="1:14" x14ac:dyDescent="0.25">
      <c r="A4" s="1" t="s">
        <v>3</v>
      </c>
      <c r="B4" s="8" t="s">
        <v>74</v>
      </c>
      <c r="C4" s="8"/>
      <c r="H4" s="1"/>
      <c r="I4" s="1"/>
    </row>
    <row r="5" spans="1:14" x14ac:dyDescent="0.25">
      <c r="A5" s="1"/>
      <c r="B5" s="8"/>
      <c r="C5" s="8"/>
    </row>
    <row r="6" spans="1:14" x14ac:dyDescent="0.25">
      <c r="I6" s="6" t="s">
        <v>4</v>
      </c>
      <c r="J6" s="2">
        <v>46146</v>
      </c>
      <c r="K6" s="2">
        <f>+J6+7</f>
        <v>46153</v>
      </c>
      <c r="L6" s="2">
        <f>+K6+7</f>
        <v>46160</v>
      </c>
      <c r="M6" s="2">
        <f>+L6+7</f>
        <v>46167</v>
      </c>
      <c r="N6" s="2">
        <f>+M6+7</f>
        <v>46174</v>
      </c>
    </row>
    <row r="7" spans="1:14" ht="45" x14ac:dyDescent="0.25">
      <c r="A7" s="3" t="s">
        <v>5</v>
      </c>
      <c r="B7" s="3" t="s">
        <v>6</v>
      </c>
      <c r="C7" s="3" t="s">
        <v>7</v>
      </c>
      <c r="D7" s="21" t="s">
        <v>37</v>
      </c>
      <c r="E7" s="3" t="s">
        <v>8</v>
      </c>
      <c r="F7" s="3" t="s">
        <v>9</v>
      </c>
      <c r="G7" s="3" t="s">
        <v>10</v>
      </c>
      <c r="H7" s="21" t="s">
        <v>11</v>
      </c>
      <c r="I7" s="3" t="s">
        <v>12</v>
      </c>
      <c r="J7" s="3" t="s">
        <v>13</v>
      </c>
      <c r="K7" s="3" t="s">
        <v>153</v>
      </c>
      <c r="L7" s="3" t="s">
        <v>154</v>
      </c>
      <c r="M7" s="3" t="s">
        <v>14</v>
      </c>
      <c r="N7" s="3" t="s">
        <v>155</v>
      </c>
    </row>
    <row r="8" spans="1:14" x14ac:dyDescent="0.25">
      <c r="A8" s="5" t="s">
        <v>15</v>
      </c>
      <c r="B8" s="4"/>
      <c r="C8" s="4"/>
      <c r="D8" s="21"/>
      <c r="E8" s="4"/>
      <c r="F8" s="4"/>
      <c r="G8" s="4"/>
      <c r="H8" s="21"/>
      <c r="I8" s="4"/>
    </row>
    <row r="9" spans="1:14" x14ac:dyDescent="0.25">
      <c r="A9">
        <v>1</v>
      </c>
      <c r="B9" t="s">
        <v>75</v>
      </c>
      <c r="C9" t="s">
        <v>106</v>
      </c>
      <c r="D9" s="22" t="s">
        <v>39</v>
      </c>
      <c r="E9" s="2">
        <v>46146</v>
      </c>
      <c r="F9" s="2"/>
      <c r="G9" s="2"/>
      <c r="H9" s="22" t="s">
        <v>28</v>
      </c>
      <c r="I9" s="11">
        <f t="shared" ref="I9:I55" si="0">SUM(J9:K9)</f>
        <v>8</v>
      </c>
      <c r="J9" s="11">
        <v>8</v>
      </c>
      <c r="K9" s="11"/>
      <c r="L9" s="11"/>
    </row>
    <row r="10" spans="1:14" x14ac:dyDescent="0.25">
      <c r="A10">
        <v>2</v>
      </c>
      <c r="B10" t="s">
        <v>75</v>
      </c>
      <c r="C10" t="s">
        <v>107</v>
      </c>
      <c r="D10" s="22" t="s">
        <v>39</v>
      </c>
      <c r="E10" s="2">
        <v>46146</v>
      </c>
      <c r="F10" s="2"/>
      <c r="G10" s="2"/>
      <c r="H10" s="22" t="s">
        <v>28</v>
      </c>
      <c r="I10" s="11">
        <f t="shared" si="0"/>
        <v>0</v>
      </c>
      <c r="J10" s="11"/>
      <c r="K10" s="11"/>
      <c r="L10" s="11"/>
    </row>
    <row r="11" spans="1:14" x14ac:dyDescent="0.25">
      <c r="A11">
        <v>3</v>
      </c>
      <c r="B11" t="s">
        <v>75</v>
      </c>
      <c r="C11" t="s">
        <v>108</v>
      </c>
      <c r="D11" s="22" t="s">
        <v>39</v>
      </c>
      <c r="E11" s="2">
        <v>46146</v>
      </c>
      <c r="F11" s="2"/>
      <c r="G11" s="2"/>
      <c r="H11" s="22" t="s">
        <v>28</v>
      </c>
      <c r="I11" s="11">
        <f t="shared" si="0"/>
        <v>0</v>
      </c>
      <c r="J11" s="11"/>
      <c r="K11" s="11"/>
      <c r="L11" s="11"/>
    </row>
    <row r="12" spans="1:14" x14ac:dyDescent="0.25">
      <c r="A12">
        <v>4</v>
      </c>
      <c r="B12" t="s">
        <v>75</v>
      </c>
      <c r="C12" s="26" t="s">
        <v>109</v>
      </c>
      <c r="D12" s="22" t="s">
        <v>39</v>
      </c>
      <c r="E12" s="2">
        <v>46146</v>
      </c>
      <c r="F12" s="2"/>
      <c r="G12" s="2"/>
      <c r="H12" s="22" t="s">
        <v>28</v>
      </c>
      <c r="I12" s="11">
        <f t="shared" si="0"/>
        <v>0</v>
      </c>
      <c r="J12" s="11"/>
      <c r="K12" s="11"/>
      <c r="L12" s="11"/>
    </row>
    <row r="13" spans="1:14" x14ac:dyDescent="0.25">
      <c r="A13">
        <v>5</v>
      </c>
      <c r="B13" t="s">
        <v>75</v>
      </c>
      <c r="C13" s="27" t="s">
        <v>110</v>
      </c>
      <c r="D13" s="22" t="s">
        <v>39</v>
      </c>
      <c r="E13" s="2">
        <v>46146</v>
      </c>
      <c r="F13" s="2"/>
      <c r="G13" s="2"/>
      <c r="H13" s="22" t="s">
        <v>28</v>
      </c>
      <c r="I13" s="11">
        <f t="shared" si="0"/>
        <v>3</v>
      </c>
      <c r="J13" s="11">
        <v>3</v>
      </c>
      <c r="K13" s="11"/>
      <c r="L13" s="11"/>
      <c r="M13" s="11"/>
    </row>
    <row r="14" spans="1:14" x14ac:dyDescent="0.25">
      <c r="A14">
        <v>6</v>
      </c>
      <c r="B14" t="s">
        <v>75</v>
      </c>
      <c r="C14" s="27" t="s">
        <v>111</v>
      </c>
      <c r="D14" s="22" t="s">
        <v>39</v>
      </c>
      <c r="E14" s="2">
        <v>46146</v>
      </c>
      <c r="F14" s="2"/>
      <c r="G14" s="2"/>
      <c r="H14" s="22" t="s">
        <v>28</v>
      </c>
      <c r="I14" s="11">
        <f t="shared" si="0"/>
        <v>3.5</v>
      </c>
      <c r="J14" s="11">
        <v>3.5</v>
      </c>
      <c r="K14" s="11"/>
      <c r="L14" s="11"/>
      <c r="M14" s="11"/>
    </row>
    <row r="15" spans="1:14" x14ac:dyDescent="0.25">
      <c r="A15">
        <v>7</v>
      </c>
      <c r="B15" t="s">
        <v>75</v>
      </c>
      <c r="C15" s="27" t="s">
        <v>112</v>
      </c>
      <c r="D15" s="22" t="s">
        <v>39</v>
      </c>
      <c r="E15" s="2">
        <v>46146</v>
      </c>
      <c r="F15" s="2"/>
      <c r="G15" s="2"/>
      <c r="H15" s="22" t="s">
        <v>28</v>
      </c>
      <c r="I15" s="11">
        <f t="shared" si="0"/>
        <v>3</v>
      </c>
      <c r="J15" s="11">
        <v>3</v>
      </c>
      <c r="K15" s="11"/>
      <c r="L15" s="11"/>
      <c r="M15" s="11"/>
    </row>
    <row r="16" spans="1:14" x14ac:dyDescent="0.25">
      <c r="A16">
        <v>8</v>
      </c>
      <c r="B16" t="s">
        <v>75</v>
      </c>
      <c r="C16" s="27" t="s">
        <v>113</v>
      </c>
      <c r="D16" s="22" t="s">
        <v>39</v>
      </c>
      <c r="E16" s="2">
        <v>46146</v>
      </c>
      <c r="F16" s="2"/>
      <c r="G16" s="2"/>
      <c r="H16" s="22" t="s">
        <v>28</v>
      </c>
      <c r="I16" s="11">
        <f t="shared" si="0"/>
        <v>3</v>
      </c>
      <c r="J16" s="11">
        <v>3</v>
      </c>
      <c r="K16" s="11"/>
      <c r="L16" s="11"/>
      <c r="M16" s="11"/>
    </row>
    <row r="17" spans="1:13" x14ac:dyDescent="0.25">
      <c r="A17">
        <v>9</v>
      </c>
      <c r="B17" t="s">
        <v>75</v>
      </c>
      <c r="C17" s="27" t="s">
        <v>114</v>
      </c>
      <c r="D17" s="22" t="s">
        <v>39</v>
      </c>
      <c r="E17" s="2">
        <v>46146</v>
      </c>
      <c r="F17" s="2"/>
      <c r="G17" s="2"/>
      <c r="H17" s="22" t="s">
        <v>28</v>
      </c>
      <c r="I17" s="11">
        <f t="shared" si="0"/>
        <v>3.5</v>
      </c>
      <c r="J17" s="11">
        <v>3.5</v>
      </c>
      <c r="K17" s="11"/>
      <c r="L17" s="11"/>
      <c r="M17" s="11"/>
    </row>
    <row r="18" spans="1:13" x14ac:dyDescent="0.25">
      <c r="A18">
        <v>10</v>
      </c>
      <c r="B18" t="s">
        <v>75</v>
      </c>
      <c r="C18" s="27" t="s">
        <v>115</v>
      </c>
      <c r="D18" s="22" t="s">
        <v>39</v>
      </c>
      <c r="E18" s="2">
        <v>46146</v>
      </c>
      <c r="F18" s="2"/>
      <c r="G18" s="2"/>
      <c r="H18" s="22" t="s">
        <v>28</v>
      </c>
      <c r="I18" s="11">
        <f t="shared" si="0"/>
        <v>3</v>
      </c>
      <c r="J18" s="11">
        <v>3</v>
      </c>
      <c r="K18" s="11"/>
      <c r="L18" s="11"/>
      <c r="M18" s="11"/>
    </row>
    <row r="19" spans="1:13" x14ac:dyDescent="0.25">
      <c r="A19">
        <v>11</v>
      </c>
      <c r="B19" t="s">
        <v>75</v>
      </c>
      <c r="C19" s="27" t="s">
        <v>116</v>
      </c>
      <c r="D19" s="22" t="s">
        <v>39</v>
      </c>
      <c r="E19" s="2">
        <v>46146</v>
      </c>
      <c r="G19" s="2"/>
      <c r="H19" s="22" t="s">
        <v>28</v>
      </c>
      <c r="I19" s="11">
        <f t="shared" si="0"/>
        <v>3</v>
      </c>
      <c r="J19" s="11">
        <v>3</v>
      </c>
      <c r="K19" s="11"/>
      <c r="L19" s="11"/>
      <c r="M19" s="11"/>
    </row>
    <row r="20" spans="1:13" x14ac:dyDescent="0.25">
      <c r="A20">
        <v>12</v>
      </c>
      <c r="B20" t="s">
        <v>75</v>
      </c>
      <c r="C20" s="26" t="s">
        <v>117</v>
      </c>
      <c r="D20" s="22" t="s">
        <v>39</v>
      </c>
      <c r="E20" s="2">
        <v>46146</v>
      </c>
      <c r="G20" s="2"/>
      <c r="H20" s="22" t="s">
        <v>28</v>
      </c>
      <c r="I20" s="11">
        <f t="shared" si="0"/>
        <v>3</v>
      </c>
      <c r="J20" s="11">
        <v>3</v>
      </c>
      <c r="K20" s="11"/>
      <c r="L20" s="11"/>
      <c r="M20" s="11"/>
    </row>
    <row r="21" spans="1:13" x14ac:dyDescent="0.25">
      <c r="A21">
        <v>13</v>
      </c>
      <c r="B21" t="s">
        <v>75</v>
      </c>
      <c r="C21" s="26" t="s">
        <v>118</v>
      </c>
      <c r="D21" s="22" t="s">
        <v>39</v>
      </c>
      <c r="E21" s="2">
        <v>46146</v>
      </c>
      <c r="G21" s="2"/>
      <c r="H21" s="22" t="s">
        <v>28</v>
      </c>
      <c r="I21" s="11">
        <f t="shared" si="0"/>
        <v>4</v>
      </c>
      <c r="J21" s="11">
        <v>4</v>
      </c>
      <c r="K21" s="11"/>
      <c r="L21" s="11"/>
      <c r="M21" s="11"/>
    </row>
    <row r="22" spans="1:13" x14ac:dyDescent="0.25">
      <c r="A22">
        <v>14</v>
      </c>
      <c r="B22" t="s">
        <v>75</v>
      </c>
      <c r="C22" s="26" t="s">
        <v>119</v>
      </c>
      <c r="D22" s="22" t="s">
        <v>39</v>
      </c>
      <c r="E22" s="2">
        <v>46146</v>
      </c>
      <c r="G22" s="2"/>
      <c r="H22" s="22" t="s">
        <v>28</v>
      </c>
      <c r="I22" s="11">
        <f t="shared" si="0"/>
        <v>3</v>
      </c>
      <c r="J22" s="11">
        <v>3</v>
      </c>
      <c r="K22" s="11"/>
      <c r="L22" s="11"/>
      <c r="M22" s="11"/>
    </row>
    <row r="23" spans="1:13" x14ac:dyDescent="0.25">
      <c r="A23">
        <v>15</v>
      </c>
      <c r="B23" t="s">
        <v>75</v>
      </c>
      <c r="C23" s="26" t="s">
        <v>120</v>
      </c>
      <c r="D23" s="22" t="s">
        <v>39</v>
      </c>
      <c r="E23" s="2">
        <v>46146</v>
      </c>
      <c r="G23" s="2"/>
      <c r="H23" s="22" t="s">
        <v>28</v>
      </c>
      <c r="I23" s="11">
        <f t="shared" si="0"/>
        <v>4</v>
      </c>
      <c r="J23" s="11"/>
      <c r="K23" s="11">
        <v>4</v>
      </c>
      <c r="L23" s="11"/>
      <c r="M23" s="11"/>
    </row>
    <row r="24" spans="1:13" x14ac:dyDescent="0.25">
      <c r="A24">
        <v>16</v>
      </c>
      <c r="B24" t="s">
        <v>75</v>
      </c>
      <c r="C24" s="26" t="s">
        <v>121</v>
      </c>
      <c r="D24" s="22" t="s">
        <v>39</v>
      </c>
      <c r="E24" s="2">
        <v>46146</v>
      </c>
      <c r="G24" s="2"/>
      <c r="H24" s="22" t="s">
        <v>28</v>
      </c>
      <c r="I24" s="11">
        <f t="shared" si="0"/>
        <v>4</v>
      </c>
      <c r="J24" s="11"/>
      <c r="K24" s="11">
        <v>4</v>
      </c>
      <c r="L24" s="11"/>
      <c r="M24" s="11"/>
    </row>
    <row r="25" spans="1:13" x14ac:dyDescent="0.25">
      <c r="A25">
        <v>17</v>
      </c>
      <c r="B25" t="s">
        <v>75</v>
      </c>
      <c r="C25" s="26" t="s">
        <v>122</v>
      </c>
      <c r="D25" s="22" t="s">
        <v>39</v>
      </c>
      <c r="E25" s="2">
        <v>46146</v>
      </c>
      <c r="G25" s="2"/>
      <c r="H25" s="22" t="s">
        <v>28</v>
      </c>
      <c r="I25" s="11">
        <f t="shared" si="0"/>
        <v>3.5</v>
      </c>
      <c r="J25" s="11"/>
      <c r="K25" s="11">
        <v>3.5</v>
      </c>
      <c r="L25" s="11"/>
      <c r="M25" s="11"/>
    </row>
    <row r="26" spans="1:13" x14ac:dyDescent="0.25">
      <c r="A26">
        <v>18</v>
      </c>
      <c r="B26" t="s">
        <v>75</v>
      </c>
      <c r="C26" s="26" t="s">
        <v>123</v>
      </c>
      <c r="D26" s="22" t="s">
        <v>39</v>
      </c>
      <c r="E26" s="2">
        <v>46146</v>
      </c>
      <c r="G26" s="2"/>
      <c r="H26" s="22" t="s">
        <v>28</v>
      </c>
      <c r="I26" s="11">
        <f t="shared" si="0"/>
        <v>4</v>
      </c>
      <c r="J26" s="11"/>
      <c r="K26" s="11">
        <v>4</v>
      </c>
      <c r="L26" s="11"/>
      <c r="M26" s="11"/>
    </row>
    <row r="27" spans="1:13" x14ac:dyDescent="0.25">
      <c r="A27">
        <v>19</v>
      </c>
      <c r="B27" t="s">
        <v>75</v>
      </c>
      <c r="C27" s="27" t="s">
        <v>124</v>
      </c>
      <c r="D27" s="22" t="s">
        <v>39</v>
      </c>
      <c r="E27" s="2">
        <v>46146</v>
      </c>
      <c r="G27" s="2"/>
      <c r="H27" s="22" t="s">
        <v>28</v>
      </c>
      <c r="I27" s="11">
        <f t="shared" si="0"/>
        <v>4</v>
      </c>
      <c r="J27" s="11"/>
      <c r="K27" s="11">
        <v>4</v>
      </c>
      <c r="L27" s="11"/>
      <c r="M27" s="11"/>
    </row>
    <row r="28" spans="1:13" x14ac:dyDescent="0.25">
      <c r="A28">
        <v>20</v>
      </c>
      <c r="B28" t="s">
        <v>75</v>
      </c>
      <c r="C28" s="26" t="s">
        <v>125</v>
      </c>
      <c r="D28" s="22" t="s">
        <v>39</v>
      </c>
      <c r="E28" s="2">
        <v>46146</v>
      </c>
      <c r="G28" s="2"/>
      <c r="H28" s="22" t="s">
        <v>28</v>
      </c>
      <c r="I28" s="11">
        <f t="shared" si="0"/>
        <v>4</v>
      </c>
      <c r="J28" s="11"/>
      <c r="K28" s="11">
        <v>4</v>
      </c>
      <c r="L28" s="11"/>
      <c r="M28" s="11"/>
    </row>
    <row r="29" spans="1:13" x14ac:dyDescent="0.25">
      <c r="A29">
        <v>21</v>
      </c>
      <c r="B29" t="s">
        <v>75</v>
      </c>
      <c r="C29" s="26" t="s">
        <v>126</v>
      </c>
      <c r="D29" s="22" t="s">
        <v>39</v>
      </c>
      <c r="E29" s="2">
        <v>46146</v>
      </c>
      <c r="G29" s="2"/>
      <c r="H29" s="22" t="s">
        <v>28</v>
      </c>
      <c r="I29" s="11">
        <f t="shared" si="0"/>
        <v>4</v>
      </c>
      <c r="J29" s="11"/>
      <c r="K29" s="11">
        <v>4</v>
      </c>
      <c r="L29" s="11"/>
      <c r="M29" s="11"/>
    </row>
    <row r="30" spans="1:13" x14ac:dyDescent="0.25">
      <c r="A30">
        <v>22</v>
      </c>
      <c r="B30" t="s">
        <v>75</v>
      </c>
      <c r="C30" s="28" t="s">
        <v>127</v>
      </c>
      <c r="D30" s="22" t="s">
        <v>39</v>
      </c>
      <c r="E30" s="2">
        <v>46146</v>
      </c>
      <c r="G30" s="2"/>
      <c r="H30" s="22" t="s">
        <v>28</v>
      </c>
      <c r="I30" s="11">
        <f t="shared" si="0"/>
        <v>3</v>
      </c>
      <c r="J30" s="11"/>
      <c r="K30" s="11">
        <v>3</v>
      </c>
      <c r="L30" s="11"/>
      <c r="M30" s="11"/>
    </row>
    <row r="31" spans="1:13" x14ac:dyDescent="0.25">
      <c r="A31">
        <v>23</v>
      </c>
      <c r="B31" t="s">
        <v>75</v>
      </c>
      <c r="C31" s="26" t="s">
        <v>128</v>
      </c>
      <c r="D31" s="22" t="s">
        <v>39</v>
      </c>
      <c r="E31" s="2">
        <v>46146</v>
      </c>
      <c r="G31" s="2"/>
      <c r="H31" s="22" t="s">
        <v>28</v>
      </c>
      <c r="I31" s="11">
        <f t="shared" si="0"/>
        <v>4</v>
      </c>
      <c r="J31" s="11"/>
      <c r="K31" s="11">
        <v>4</v>
      </c>
      <c r="L31" s="11"/>
      <c r="M31" s="11"/>
    </row>
    <row r="32" spans="1:13" x14ac:dyDescent="0.25">
      <c r="A32">
        <v>24</v>
      </c>
      <c r="B32" t="s">
        <v>75</v>
      </c>
      <c r="C32" s="26" t="s">
        <v>129</v>
      </c>
      <c r="D32" s="22" t="s">
        <v>39</v>
      </c>
      <c r="E32" s="2">
        <v>46146</v>
      </c>
      <c r="G32" s="2"/>
      <c r="H32" s="22" t="s">
        <v>28</v>
      </c>
      <c r="I32" s="11">
        <f t="shared" si="0"/>
        <v>4</v>
      </c>
      <c r="J32" s="11"/>
      <c r="K32" s="11">
        <v>4</v>
      </c>
      <c r="L32" s="11"/>
      <c r="M32" s="11"/>
    </row>
    <row r="33" spans="1:13" x14ac:dyDescent="0.25">
      <c r="A33">
        <v>25</v>
      </c>
      <c r="B33" t="s">
        <v>75</v>
      </c>
      <c r="C33" s="26" t="s">
        <v>130</v>
      </c>
      <c r="D33" s="22" t="s">
        <v>39</v>
      </c>
      <c r="E33" s="2">
        <v>46146</v>
      </c>
      <c r="G33" s="2"/>
      <c r="H33" s="22" t="s">
        <v>28</v>
      </c>
      <c r="I33" s="11">
        <f t="shared" si="0"/>
        <v>0</v>
      </c>
      <c r="J33" s="11"/>
      <c r="K33" s="11"/>
      <c r="L33" s="11">
        <v>4</v>
      </c>
      <c r="M33" s="11"/>
    </row>
    <row r="34" spans="1:13" x14ac:dyDescent="0.25">
      <c r="A34">
        <v>26</v>
      </c>
      <c r="B34" t="s">
        <v>75</v>
      </c>
      <c r="C34" s="27" t="s">
        <v>131</v>
      </c>
      <c r="D34" s="22" t="s">
        <v>39</v>
      </c>
      <c r="E34" s="2">
        <v>46146</v>
      </c>
      <c r="G34" s="2"/>
      <c r="H34" s="22" t="s">
        <v>28</v>
      </c>
      <c r="I34" s="11">
        <f t="shared" si="0"/>
        <v>0</v>
      </c>
      <c r="J34" s="11"/>
      <c r="K34" s="11"/>
      <c r="L34" s="11">
        <v>4</v>
      </c>
      <c r="M34" s="11"/>
    </row>
    <row r="35" spans="1:13" x14ac:dyDescent="0.25">
      <c r="A35">
        <v>27</v>
      </c>
      <c r="B35" t="s">
        <v>75</v>
      </c>
      <c r="C35" s="27" t="s">
        <v>132</v>
      </c>
      <c r="D35" s="22" t="s">
        <v>39</v>
      </c>
      <c r="E35" s="2">
        <v>46146</v>
      </c>
      <c r="G35" s="2"/>
      <c r="H35" s="22" t="s">
        <v>28</v>
      </c>
      <c r="I35" s="11">
        <f t="shared" si="0"/>
        <v>0</v>
      </c>
      <c r="J35" s="11"/>
      <c r="K35" s="11"/>
      <c r="L35" s="11">
        <v>3.5</v>
      </c>
      <c r="M35" s="11"/>
    </row>
    <row r="36" spans="1:13" x14ac:dyDescent="0.25">
      <c r="A36">
        <v>28</v>
      </c>
      <c r="B36" t="s">
        <v>75</v>
      </c>
      <c r="C36" s="26" t="s">
        <v>133</v>
      </c>
      <c r="D36" s="22" t="s">
        <v>39</v>
      </c>
      <c r="E36" s="2">
        <v>46146</v>
      </c>
      <c r="G36" s="2"/>
      <c r="H36" s="22" t="s">
        <v>28</v>
      </c>
      <c r="I36" s="11">
        <f t="shared" si="0"/>
        <v>0</v>
      </c>
      <c r="J36" s="11"/>
      <c r="K36" s="11"/>
      <c r="L36" s="11">
        <v>2.5</v>
      </c>
      <c r="M36" s="11"/>
    </row>
    <row r="37" spans="1:13" x14ac:dyDescent="0.25">
      <c r="A37">
        <v>29</v>
      </c>
      <c r="B37" t="s">
        <v>75</v>
      </c>
      <c r="C37" s="27" t="s">
        <v>134</v>
      </c>
      <c r="D37" s="22" t="s">
        <v>39</v>
      </c>
      <c r="E37" s="2">
        <v>46146</v>
      </c>
      <c r="G37" s="2"/>
      <c r="H37" s="22" t="s">
        <v>28</v>
      </c>
      <c r="I37" s="11">
        <f t="shared" si="0"/>
        <v>0</v>
      </c>
      <c r="J37" s="11"/>
      <c r="K37" s="11"/>
      <c r="L37" s="11">
        <v>3</v>
      </c>
      <c r="M37" s="11"/>
    </row>
    <row r="38" spans="1:13" x14ac:dyDescent="0.25">
      <c r="A38">
        <v>30</v>
      </c>
      <c r="B38" t="s">
        <v>75</v>
      </c>
      <c r="C38" s="26" t="s">
        <v>135</v>
      </c>
      <c r="D38" s="22" t="s">
        <v>39</v>
      </c>
      <c r="E38" s="2">
        <v>46146</v>
      </c>
      <c r="G38" s="2"/>
      <c r="H38" s="22" t="s">
        <v>28</v>
      </c>
      <c r="I38" s="11">
        <f t="shared" si="0"/>
        <v>0</v>
      </c>
      <c r="J38" s="11"/>
      <c r="K38" s="11"/>
      <c r="L38" s="11">
        <v>3.5</v>
      </c>
      <c r="M38" s="11"/>
    </row>
    <row r="39" spans="1:13" x14ac:dyDescent="0.25">
      <c r="A39">
        <v>31</v>
      </c>
      <c r="B39" t="s">
        <v>75</v>
      </c>
      <c r="C39" s="27" t="s">
        <v>136</v>
      </c>
      <c r="D39" s="22" t="s">
        <v>39</v>
      </c>
      <c r="E39" s="2">
        <v>46146</v>
      </c>
      <c r="G39" s="2"/>
      <c r="H39" s="22" t="s">
        <v>28</v>
      </c>
      <c r="I39" s="11">
        <f t="shared" si="0"/>
        <v>0</v>
      </c>
      <c r="J39" s="11"/>
      <c r="K39" s="11"/>
      <c r="L39" s="11">
        <v>3</v>
      </c>
      <c r="M39" s="11"/>
    </row>
    <row r="40" spans="1:13" x14ac:dyDescent="0.25">
      <c r="A40">
        <v>32</v>
      </c>
      <c r="B40" t="s">
        <v>75</v>
      </c>
      <c r="C40" s="26" t="s">
        <v>137</v>
      </c>
      <c r="D40" s="22" t="s">
        <v>39</v>
      </c>
      <c r="E40" s="2">
        <v>46146</v>
      </c>
      <c r="G40" s="2"/>
      <c r="H40" s="22" t="s">
        <v>28</v>
      </c>
      <c r="I40" s="11">
        <f t="shared" si="0"/>
        <v>0</v>
      </c>
      <c r="J40" s="11"/>
      <c r="K40" s="11"/>
      <c r="L40" s="11">
        <v>3</v>
      </c>
      <c r="M40" s="11"/>
    </row>
    <row r="41" spans="1:13" x14ac:dyDescent="0.25">
      <c r="A41">
        <v>33</v>
      </c>
      <c r="B41" t="s">
        <v>75</v>
      </c>
      <c r="C41" s="27" t="s">
        <v>138</v>
      </c>
      <c r="D41" s="22" t="s">
        <v>39</v>
      </c>
      <c r="E41" s="2">
        <v>46146</v>
      </c>
      <c r="G41" s="2"/>
      <c r="H41" s="22" t="s">
        <v>28</v>
      </c>
      <c r="I41" s="11">
        <f t="shared" si="0"/>
        <v>0</v>
      </c>
      <c r="J41" s="11"/>
      <c r="K41" s="11"/>
      <c r="L41" s="11">
        <v>3</v>
      </c>
      <c r="M41" s="11"/>
    </row>
    <row r="42" spans="1:13" x14ac:dyDescent="0.25">
      <c r="A42">
        <v>34</v>
      </c>
      <c r="B42" t="s">
        <v>75</v>
      </c>
      <c r="C42" s="27" t="s">
        <v>139</v>
      </c>
      <c r="D42" s="22" t="s">
        <v>39</v>
      </c>
      <c r="E42" s="2">
        <v>46146</v>
      </c>
      <c r="G42" s="2"/>
      <c r="H42" s="22" t="s">
        <v>28</v>
      </c>
      <c r="I42" s="11">
        <f t="shared" si="0"/>
        <v>0</v>
      </c>
      <c r="J42" s="11"/>
      <c r="K42" s="11"/>
      <c r="L42" s="11">
        <v>3</v>
      </c>
      <c r="M42" s="11"/>
    </row>
    <row r="43" spans="1:13" x14ac:dyDescent="0.25">
      <c r="A43">
        <v>35</v>
      </c>
      <c r="B43" t="s">
        <v>75</v>
      </c>
      <c r="C43" s="27" t="s">
        <v>140</v>
      </c>
      <c r="D43" s="22" t="s">
        <v>39</v>
      </c>
      <c r="E43" s="2">
        <v>46146</v>
      </c>
      <c r="G43" s="2"/>
      <c r="H43" s="22" t="s">
        <v>28</v>
      </c>
      <c r="I43" s="11">
        <f t="shared" si="0"/>
        <v>0</v>
      </c>
      <c r="J43" s="11"/>
      <c r="K43" s="11"/>
      <c r="L43" s="11">
        <v>3</v>
      </c>
      <c r="M43" s="11"/>
    </row>
    <row r="44" spans="1:13" x14ac:dyDescent="0.25">
      <c r="A44">
        <v>36</v>
      </c>
      <c r="B44" t="s">
        <v>75</v>
      </c>
      <c r="C44" s="27" t="s">
        <v>141</v>
      </c>
      <c r="D44" s="22" t="s">
        <v>39</v>
      </c>
      <c r="E44" s="2">
        <v>46146</v>
      </c>
      <c r="G44" s="2"/>
      <c r="H44" s="22" t="s">
        <v>28</v>
      </c>
      <c r="I44" s="11">
        <f t="shared" si="0"/>
        <v>0</v>
      </c>
      <c r="J44" s="11"/>
      <c r="K44" s="11"/>
      <c r="L44" s="11">
        <v>3</v>
      </c>
      <c r="M44" s="11"/>
    </row>
    <row r="45" spans="1:13" x14ac:dyDescent="0.25">
      <c r="A45">
        <v>37</v>
      </c>
      <c r="B45" t="s">
        <v>75</v>
      </c>
      <c r="C45" s="27" t="s">
        <v>142</v>
      </c>
      <c r="D45" s="22" t="s">
        <v>39</v>
      </c>
      <c r="E45" s="2">
        <v>46146</v>
      </c>
      <c r="G45" s="2"/>
      <c r="H45" s="22" t="s">
        <v>28</v>
      </c>
      <c r="I45" s="11">
        <f t="shared" si="0"/>
        <v>0</v>
      </c>
      <c r="J45" s="11"/>
      <c r="K45" s="11"/>
      <c r="L45" s="11"/>
      <c r="M45" s="11">
        <v>3</v>
      </c>
    </row>
    <row r="46" spans="1:13" x14ac:dyDescent="0.25">
      <c r="A46">
        <v>38</v>
      </c>
      <c r="B46" t="s">
        <v>75</v>
      </c>
      <c r="C46" s="27" t="s">
        <v>143</v>
      </c>
      <c r="D46" s="22" t="s">
        <v>39</v>
      </c>
      <c r="E46" s="2">
        <v>46146</v>
      </c>
      <c r="G46" s="2"/>
      <c r="H46" s="22" t="s">
        <v>28</v>
      </c>
      <c r="I46" s="11">
        <f t="shared" si="0"/>
        <v>0</v>
      </c>
      <c r="J46" s="11"/>
      <c r="K46" s="11"/>
      <c r="L46" s="11"/>
      <c r="M46" s="11">
        <v>4</v>
      </c>
    </row>
    <row r="47" spans="1:13" x14ac:dyDescent="0.25">
      <c r="A47">
        <v>39</v>
      </c>
      <c r="B47" t="s">
        <v>75</v>
      </c>
      <c r="C47" s="27" t="s">
        <v>144</v>
      </c>
      <c r="D47" s="22" t="s">
        <v>39</v>
      </c>
      <c r="E47" s="2">
        <v>46146</v>
      </c>
      <c r="G47" s="2"/>
      <c r="H47" s="22" t="s">
        <v>28</v>
      </c>
      <c r="I47" s="11">
        <f t="shared" si="0"/>
        <v>0</v>
      </c>
      <c r="J47" s="11"/>
      <c r="K47" s="11"/>
      <c r="L47" s="11"/>
      <c r="M47" s="11">
        <v>4</v>
      </c>
    </row>
    <row r="48" spans="1:13" x14ac:dyDescent="0.25">
      <c r="A48">
        <v>40</v>
      </c>
      <c r="B48" t="s">
        <v>75</v>
      </c>
      <c r="C48" s="26" t="s">
        <v>145</v>
      </c>
      <c r="D48" s="22" t="s">
        <v>39</v>
      </c>
      <c r="E48" s="2">
        <v>46146</v>
      </c>
      <c r="G48" s="2"/>
      <c r="H48" s="22" t="s">
        <v>28</v>
      </c>
      <c r="I48" s="11">
        <f t="shared" si="0"/>
        <v>0</v>
      </c>
      <c r="J48" s="11"/>
      <c r="K48" s="11"/>
      <c r="L48" s="11"/>
      <c r="M48" s="11">
        <v>4</v>
      </c>
    </row>
    <row r="49" spans="1:14" x14ac:dyDescent="0.25">
      <c r="A49">
        <v>41</v>
      </c>
      <c r="B49" t="s">
        <v>75</v>
      </c>
      <c r="C49" s="28" t="s">
        <v>146</v>
      </c>
      <c r="D49" s="22" t="s">
        <v>39</v>
      </c>
      <c r="E49" s="2">
        <v>46146</v>
      </c>
      <c r="G49" s="2"/>
      <c r="H49" s="22" t="s">
        <v>28</v>
      </c>
      <c r="I49" s="11">
        <f t="shared" si="0"/>
        <v>0</v>
      </c>
      <c r="J49" s="11"/>
      <c r="K49" s="11"/>
      <c r="L49" s="11"/>
      <c r="M49" s="11">
        <v>4</v>
      </c>
    </row>
    <row r="50" spans="1:14" x14ac:dyDescent="0.25">
      <c r="A50">
        <v>42</v>
      </c>
      <c r="B50" t="s">
        <v>75</v>
      </c>
      <c r="C50" s="26" t="s">
        <v>147</v>
      </c>
      <c r="D50" s="22" t="s">
        <v>39</v>
      </c>
      <c r="E50" s="2">
        <v>46146</v>
      </c>
      <c r="G50" s="2"/>
      <c r="H50" s="22" t="s">
        <v>28</v>
      </c>
      <c r="I50" s="11">
        <f t="shared" si="0"/>
        <v>0</v>
      </c>
      <c r="J50" s="11"/>
      <c r="K50" s="11"/>
      <c r="L50" s="11"/>
      <c r="M50" s="11">
        <v>4</v>
      </c>
    </row>
    <row r="51" spans="1:14" x14ac:dyDescent="0.25">
      <c r="A51">
        <v>43</v>
      </c>
      <c r="B51" t="s">
        <v>75</v>
      </c>
      <c r="C51" s="27" t="s">
        <v>148</v>
      </c>
      <c r="D51" s="22" t="s">
        <v>39</v>
      </c>
      <c r="E51" s="2">
        <v>46146</v>
      </c>
      <c r="G51" s="2"/>
      <c r="H51" s="22" t="s">
        <v>28</v>
      </c>
      <c r="I51" s="11">
        <f t="shared" si="0"/>
        <v>0</v>
      </c>
      <c r="J51" s="11"/>
      <c r="K51" s="11"/>
      <c r="L51" s="11"/>
      <c r="M51" s="11">
        <v>4</v>
      </c>
    </row>
    <row r="52" spans="1:14" x14ac:dyDescent="0.25">
      <c r="A52">
        <v>44</v>
      </c>
      <c r="B52" t="s">
        <v>75</v>
      </c>
      <c r="C52" s="27" t="s">
        <v>149</v>
      </c>
      <c r="D52" s="22" t="s">
        <v>39</v>
      </c>
      <c r="E52" s="2">
        <v>46146</v>
      </c>
      <c r="G52" s="2"/>
      <c r="H52" s="22" t="s">
        <v>28</v>
      </c>
      <c r="I52" s="11">
        <f t="shared" si="0"/>
        <v>0</v>
      </c>
      <c r="J52" s="11"/>
      <c r="K52" s="11"/>
      <c r="L52" s="11"/>
      <c r="M52" s="11">
        <v>4</v>
      </c>
    </row>
    <row r="53" spans="1:14" x14ac:dyDescent="0.25">
      <c r="A53">
        <v>45</v>
      </c>
      <c r="B53" t="s">
        <v>75</v>
      </c>
      <c r="C53" s="27" t="s">
        <v>150</v>
      </c>
      <c r="D53" s="22" t="s">
        <v>39</v>
      </c>
      <c r="E53" s="2">
        <v>46146</v>
      </c>
      <c r="G53" s="2"/>
      <c r="H53" s="22" t="s">
        <v>28</v>
      </c>
      <c r="I53" s="11">
        <f t="shared" si="0"/>
        <v>0</v>
      </c>
      <c r="M53" s="11">
        <v>4</v>
      </c>
    </row>
    <row r="54" spans="1:14" x14ac:dyDescent="0.25">
      <c r="A54">
        <v>46</v>
      </c>
      <c r="B54" t="s">
        <v>75</v>
      </c>
      <c r="C54" s="26" t="s">
        <v>151</v>
      </c>
      <c r="D54" s="22" t="s">
        <v>39</v>
      </c>
      <c r="E54" s="2">
        <v>46146</v>
      </c>
      <c r="G54" s="2"/>
      <c r="H54" s="22" t="s">
        <v>28</v>
      </c>
      <c r="I54" s="11">
        <f t="shared" si="0"/>
        <v>0</v>
      </c>
      <c r="J54" s="11"/>
      <c r="K54" s="11"/>
      <c r="L54" s="11"/>
      <c r="M54" s="11">
        <v>3</v>
      </c>
      <c r="N54" s="11"/>
    </row>
    <row r="55" spans="1:14" x14ac:dyDescent="0.25">
      <c r="A55">
        <v>47</v>
      </c>
      <c r="B55" t="s">
        <v>75</v>
      </c>
      <c r="C55" s="26" t="s">
        <v>152</v>
      </c>
      <c r="D55" s="22" t="s">
        <v>39</v>
      </c>
      <c r="E55" s="2">
        <v>46146</v>
      </c>
      <c r="G55" s="2"/>
      <c r="H55" s="22" t="s">
        <v>28</v>
      </c>
      <c r="I55" s="11">
        <f t="shared" si="0"/>
        <v>0</v>
      </c>
      <c r="J55" s="11"/>
      <c r="K55" s="11"/>
      <c r="L55" s="11"/>
      <c r="M55" s="11">
        <v>3</v>
      </c>
      <c r="N55" s="11"/>
    </row>
    <row r="56" spans="1:14" ht="15.75" thickBot="1" x14ac:dyDescent="0.3">
      <c r="A56" s="10" t="s">
        <v>17</v>
      </c>
      <c r="B56" s="7"/>
      <c r="C56" s="7"/>
      <c r="D56" s="7"/>
      <c r="E56" s="7"/>
      <c r="F56" s="7"/>
      <c r="G56" s="7"/>
      <c r="H56" s="7"/>
      <c r="I56" s="12">
        <f>SUM(I8:I55)</f>
        <v>78.5</v>
      </c>
      <c r="J56" s="12">
        <f>SUM(J8:J55)</f>
        <v>40</v>
      </c>
      <c r="K56" s="12">
        <f>SUM(K8:K55)</f>
        <v>38.5</v>
      </c>
      <c r="L56" s="12">
        <f>SUM(L8:L55)</f>
        <v>38.5</v>
      </c>
      <c r="M56" s="12">
        <f>SUM(M8:M55)</f>
        <v>41</v>
      </c>
      <c r="N56" s="12">
        <f>SUM(N8:N55)</f>
        <v>0</v>
      </c>
    </row>
    <row r="57" spans="1:14" ht="15.75" thickTop="1" x14ac:dyDescent="0.25">
      <c r="I57" s="11"/>
    </row>
    <row r="58" spans="1:14" x14ac:dyDescent="0.25">
      <c r="A58" s="1" t="s">
        <v>18</v>
      </c>
      <c r="I58" s="11"/>
    </row>
    <row r="59" spans="1:14" x14ac:dyDescent="0.25">
      <c r="B59" t="s">
        <v>19</v>
      </c>
      <c r="I59" s="11">
        <f>SUM(J59:K59)</f>
        <v>5</v>
      </c>
      <c r="J59">
        <v>2.5</v>
      </c>
      <c r="K59">
        <v>2.5</v>
      </c>
      <c r="L59">
        <v>2.5</v>
      </c>
      <c r="M59">
        <v>2.5</v>
      </c>
      <c r="N59">
        <v>2.5</v>
      </c>
    </row>
    <row r="60" spans="1:14" x14ac:dyDescent="0.25">
      <c r="B60" t="s">
        <v>20</v>
      </c>
      <c r="I60" s="11">
        <f>SUM(J60:K60)</f>
        <v>0</v>
      </c>
    </row>
    <row r="61" spans="1:14" x14ac:dyDescent="0.25">
      <c r="B61" t="s">
        <v>21</v>
      </c>
      <c r="I61" s="11">
        <f>SUM(J61:K61)</f>
        <v>0</v>
      </c>
    </row>
    <row r="62" spans="1:14" x14ac:dyDescent="0.25">
      <c r="B62" t="s">
        <v>22</v>
      </c>
      <c r="I62" s="11">
        <f>SUM(J62:K62)</f>
        <v>0</v>
      </c>
    </row>
    <row r="63" spans="1:14" x14ac:dyDescent="0.25">
      <c r="B63" t="s">
        <v>23</v>
      </c>
      <c r="I63" s="11"/>
    </row>
    <row r="65" spans="1:14" ht="15.75" thickBot="1" x14ac:dyDescent="0.3">
      <c r="A65" s="10" t="s">
        <v>24</v>
      </c>
      <c r="B65" s="7"/>
      <c r="C65" s="7"/>
      <c r="D65" s="7"/>
      <c r="E65" s="7"/>
      <c r="F65" s="7"/>
      <c r="G65" s="7"/>
      <c r="H65" s="7"/>
      <c r="I65" s="12">
        <f>SUM(I59:I64)</f>
        <v>5</v>
      </c>
      <c r="J65" s="12">
        <f t="shared" ref="J65:K65" si="1">SUM(J59:J64)</f>
        <v>2.5</v>
      </c>
      <c r="K65" s="12">
        <f t="shared" si="1"/>
        <v>2.5</v>
      </c>
      <c r="L65" s="12">
        <f t="shared" ref="L65:N65" si="2">SUM(L59:L64)</f>
        <v>2.5</v>
      </c>
      <c r="M65" s="12">
        <f t="shared" si="2"/>
        <v>2.5</v>
      </c>
      <c r="N65" s="12">
        <f t="shared" ref="N65" si="3">SUM(N59:N64)</f>
        <v>2.5</v>
      </c>
    </row>
    <row r="66" spans="1:14" ht="15.75" thickTop="1" x14ac:dyDescent="0.25">
      <c r="I66" s="11"/>
      <c r="J66" s="11"/>
      <c r="K66" s="11"/>
      <c r="L66" s="11"/>
      <c r="M66" s="11"/>
      <c r="N66" s="11"/>
    </row>
    <row r="67" spans="1:14" ht="15.75" thickBot="1" x14ac:dyDescent="0.3">
      <c r="A67" s="10" t="s">
        <v>25</v>
      </c>
      <c r="B67" s="7"/>
      <c r="C67" s="7"/>
      <c r="D67" s="7"/>
      <c r="E67" s="7"/>
      <c r="F67" s="7"/>
      <c r="G67" s="7"/>
      <c r="H67" s="7"/>
      <c r="I67" s="12">
        <f>+I65+I56</f>
        <v>83.5</v>
      </c>
      <c r="J67" s="12">
        <f t="shared" ref="J67:K67" si="4">+J65+J56</f>
        <v>42.5</v>
      </c>
      <c r="K67" s="12">
        <f t="shared" si="4"/>
        <v>41</v>
      </c>
      <c r="L67" s="12">
        <f t="shared" ref="L67:N67" si="5">+L65+L56</f>
        <v>41</v>
      </c>
      <c r="M67" s="12">
        <f t="shared" si="5"/>
        <v>43.5</v>
      </c>
      <c r="N67" s="12">
        <f t="shared" ref="N67" si="6">+N65+N56</f>
        <v>2.5</v>
      </c>
    </row>
    <row r="68" spans="1:14" ht="15.75" thickTop="1" x14ac:dyDescent="0.25"/>
    <row r="70" spans="1:14" ht="15.75" thickBot="1" x14ac:dyDescent="0.3">
      <c r="A70" s="10" t="s">
        <v>26</v>
      </c>
      <c r="B70" s="7"/>
      <c r="C70" s="7"/>
      <c r="D70" s="7"/>
      <c r="E70" s="7"/>
      <c r="F70" s="7"/>
      <c r="G70" s="7"/>
      <c r="H70" s="7"/>
      <c r="I70" s="12"/>
      <c r="J70" s="12">
        <v>40</v>
      </c>
      <c r="K70" s="12">
        <v>40</v>
      </c>
      <c r="L70" s="12">
        <v>40</v>
      </c>
      <c r="M70" s="12">
        <v>40</v>
      </c>
      <c r="N70" s="12">
        <v>40</v>
      </c>
    </row>
    <row r="71" spans="1:14" ht="16.5" thickTop="1" thickBot="1" x14ac:dyDescent="0.3">
      <c r="A71" s="10" t="s">
        <v>27</v>
      </c>
      <c r="B71" s="7"/>
      <c r="C71" s="7"/>
      <c r="D71" s="7"/>
      <c r="E71" s="7"/>
      <c r="F71" s="7"/>
      <c r="G71" s="7"/>
      <c r="H71" s="7"/>
      <c r="I71" s="12"/>
      <c r="J71" s="12">
        <f>+J70-J67</f>
        <v>-2.5</v>
      </c>
      <c r="K71" s="12">
        <f>+K70-K67</f>
        <v>-1</v>
      </c>
      <c r="L71" s="12">
        <f t="shared" ref="L71:N71" si="7">+L70-L67</f>
        <v>-1</v>
      </c>
      <c r="M71" s="12">
        <f t="shared" si="7"/>
        <v>-3.5</v>
      </c>
      <c r="N71" s="12">
        <f t="shared" si="7"/>
        <v>37.5</v>
      </c>
    </row>
    <row r="72" spans="1:14" ht="15.75" thickTop="1" x14ac:dyDescent="0.25"/>
  </sheetData>
  <protectedRanges>
    <protectedRange sqref="G9:I9 G10:G18 J60:K62 A59:H62 A63:K64 F19:G55 O8:XFD55 L60:XFD64 A8:N8 J59:XFD59 H10:I55" name="Range1"/>
    <protectedRange sqref="D9:D55" name="Range1_2"/>
    <protectedRange sqref="F9:F18" name="Range1_3"/>
    <protectedRange sqref="A9:A55" name="Range1_4"/>
    <protectedRange sqref="B9:B55" name="Range1_1_1"/>
    <protectedRange sqref="C13" name="Range1_1_3"/>
    <protectedRange sqref="C10" name="Range1_1_4"/>
    <protectedRange sqref="C9 C11:C12" name="Range1_2_2"/>
    <protectedRange sqref="J54:L55 N54:N55" name="Range1_8"/>
    <protectedRange sqref="I59:I62" name="Range1_9"/>
    <protectedRange sqref="N9:N53 M9:M12" name="Range1_1"/>
    <protectedRange sqref="J9:L12 J47:L52 M47:M55 J13:M46" name="Range1_8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510BAD-129E-4FED-B004-46D9BD7E1F75}">
          <x14:formula1>
            <xm:f>Status!$B$15:$B$22</xm:f>
          </x14:formula1>
          <xm:sqref>H9:H55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37</v>
      </c>
      <c r="C2" s="20" t="s">
        <v>42</v>
      </c>
    </row>
    <row r="3" spans="2:3" x14ac:dyDescent="0.25">
      <c r="B3" s="17" t="s">
        <v>38</v>
      </c>
      <c r="C3" s="18" t="s">
        <v>43</v>
      </c>
    </row>
    <row r="4" spans="2:3" x14ac:dyDescent="0.25">
      <c r="B4" s="17" t="s">
        <v>44</v>
      </c>
      <c r="C4" s="18" t="s">
        <v>45</v>
      </c>
    </row>
    <row r="5" spans="2:3" x14ac:dyDescent="0.25">
      <c r="B5" s="17" t="s">
        <v>46</v>
      </c>
      <c r="C5" s="18" t="s">
        <v>47</v>
      </c>
    </row>
    <row r="6" spans="2:3" x14ac:dyDescent="0.25">
      <c r="B6" s="17" t="s">
        <v>39</v>
      </c>
      <c r="C6" s="18" t="s">
        <v>48</v>
      </c>
    </row>
    <row r="7" spans="2:3" x14ac:dyDescent="0.25">
      <c r="B7" s="17" t="s">
        <v>70</v>
      </c>
      <c r="C7" s="18" t="s">
        <v>71</v>
      </c>
    </row>
    <row r="8" spans="2:3" x14ac:dyDescent="0.25">
      <c r="B8" s="17" t="s">
        <v>49</v>
      </c>
      <c r="C8" s="18" t="s">
        <v>50</v>
      </c>
    </row>
    <row r="9" spans="2:3" x14ac:dyDescent="0.25">
      <c r="B9" s="17" t="s">
        <v>40</v>
      </c>
      <c r="C9" s="18" t="s">
        <v>51</v>
      </c>
    </row>
    <row r="10" spans="2:3" x14ac:dyDescent="0.25">
      <c r="B10" s="17" t="s">
        <v>41</v>
      </c>
      <c r="C10" s="18" t="s">
        <v>52</v>
      </c>
    </row>
    <row r="11" spans="2:3" x14ac:dyDescent="0.25">
      <c r="B11" s="17" t="s">
        <v>53</v>
      </c>
      <c r="C11" s="18" t="s">
        <v>54</v>
      </c>
    </row>
    <row r="14" spans="2:3" ht="16.5" x14ac:dyDescent="0.25">
      <c r="B14" s="20" t="s">
        <v>55</v>
      </c>
      <c r="C14" s="20" t="s">
        <v>42</v>
      </c>
    </row>
    <row r="15" spans="2:3" x14ac:dyDescent="0.25">
      <c r="B15" s="19" t="s">
        <v>28</v>
      </c>
      <c r="C15" s="18" t="s">
        <v>56</v>
      </c>
    </row>
    <row r="16" spans="2:3" x14ac:dyDescent="0.25">
      <c r="B16" s="19" t="s">
        <v>57</v>
      </c>
      <c r="C16" s="18" t="s">
        <v>58</v>
      </c>
    </row>
    <row r="17" spans="2:3" x14ac:dyDescent="0.25">
      <c r="B17" s="19" t="s">
        <v>36</v>
      </c>
      <c r="C17" s="18" t="s">
        <v>59</v>
      </c>
    </row>
    <row r="18" spans="2:3" x14ac:dyDescent="0.25">
      <c r="B18" s="19" t="s">
        <v>16</v>
      </c>
      <c r="C18" s="18" t="s">
        <v>60</v>
      </c>
    </row>
    <row r="19" spans="2:3" x14ac:dyDescent="0.25">
      <c r="B19" s="19" t="s">
        <v>29</v>
      </c>
      <c r="C19" s="18" t="s">
        <v>61</v>
      </c>
    </row>
    <row r="20" spans="2:3" x14ac:dyDescent="0.25">
      <c r="B20" s="19" t="s">
        <v>30</v>
      </c>
      <c r="C20" s="18" t="s">
        <v>62</v>
      </c>
    </row>
    <row r="21" spans="2:3" x14ac:dyDescent="0.25">
      <c r="B21" s="19" t="s">
        <v>63</v>
      </c>
      <c r="C21" s="18" t="s">
        <v>64</v>
      </c>
    </row>
    <row r="22" spans="2:3" x14ac:dyDescent="0.25">
      <c r="B22" s="19" t="s">
        <v>35</v>
      </c>
      <c r="C22" s="18" t="s">
        <v>65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31</v>
      </c>
    </row>
    <row r="2" spans="1:1" s="14" customFormat="1" ht="15.75" x14ac:dyDescent="0.25">
      <c r="A2" s="15"/>
    </row>
    <row r="3" spans="1:1" s="14" customFormat="1" ht="15.75" x14ac:dyDescent="0.25">
      <c r="A3" s="13" t="s">
        <v>68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32</v>
      </c>
    </row>
    <row r="8" spans="1:1" ht="15.75" x14ac:dyDescent="0.25">
      <c r="A8" s="13" t="s">
        <v>69</v>
      </c>
    </row>
    <row r="9" spans="1:1" ht="15.75" x14ac:dyDescent="0.25">
      <c r="A9" s="13" t="s">
        <v>67</v>
      </c>
    </row>
    <row r="10" spans="1:1" ht="15.75" x14ac:dyDescent="0.25">
      <c r="A10" s="13" t="s">
        <v>33</v>
      </c>
    </row>
    <row r="11" spans="1:1" ht="15.75" x14ac:dyDescent="0.25">
      <c r="A11" s="13" t="s">
        <v>34</v>
      </c>
    </row>
    <row r="12" spans="1:1" ht="15.75" x14ac:dyDescent="0.25">
      <c r="A12" s="13" t="s">
        <v>66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C6B7-CB8F-4D3E-8517-C055D677FD03}">
  <dimension ref="A1:B31"/>
  <sheetViews>
    <sheetView topLeftCell="A16" workbookViewId="0">
      <selection activeCell="E23" sqref="E23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4" t="s">
        <v>76</v>
      </c>
      <c r="B1" s="24" t="s">
        <v>6</v>
      </c>
    </row>
    <row r="2" spans="1:2" x14ac:dyDescent="0.25">
      <c r="A2" s="24">
        <v>1</v>
      </c>
      <c r="B2" s="25" t="s">
        <v>77</v>
      </c>
    </row>
    <row r="3" spans="1:2" x14ac:dyDescent="0.25">
      <c r="A3" s="24">
        <v>2</v>
      </c>
      <c r="B3" s="25" t="s">
        <v>78</v>
      </c>
    </row>
    <row r="4" spans="1:2" x14ac:dyDescent="0.25">
      <c r="A4" s="24">
        <v>3</v>
      </c>
      <c r="B4" s="25" t="s">
        <v>79</v>
      </c>
    </row>
    <row r="5" spans="1:2" x14ac:dyDescent="0.25">
      <c r="A5" s="24">
        <v>4</v>
      </c>
      <c r="B5" s="25" t="s">
        <v>80</v>
      </c>
    </row>
    <row r="6" spans="1:2" x14ac:dyDescent="0.25">
      <c r="A6" s="24">
        <v>5</v>
      </c>
      <c r="B6" s="25" t="s">
        <v>81</v>
      </c>
    </row>
    <row r="7" spans="1:2" x14ac:dyDescent="0.25">
      <c r="A7" s="24">
        <v>6</v>
      </c>
      <c r="B7" s="25" t="s">
        <v>82</v>
      </c>
    </row>
    <row r="8" spans="1:2" x14ac:dyDescent="0.25">
      <c r="A8" s="24">
        <v>7</v>
      </c>
      <c r="B8" s="25" t="s">
        <v>83</v>
      </c>
    </row>
    <row r="9" spans="1:2" x14ac:dyDescent="0.25">
      <c r="A9" s="24">
        <v>8</v>
      </c>
      <c r="B9" s="25" t="s">
        <v>84</v>
      </c>
    </row>
    <row r="10" spans="1:2" x14ac:dyDescent="0.25">
      <c r="A10" s="24">
        <v>9</v>
      </c>
      <c r="B10" s="25" t="s">
        <v>85</v>
      </c>
    </row>
    <row r="11" spans="1:2" x14ac:dyDescent="0.25">
      <c r="A11" s="24">
        <v>10</v>
      </c>
      <c r="B11" s="25" t="s">
        <v>86</v>
      </c>
    </row>
    <row r="12" spans="1:2" x14ac:dyDescent="0.25">
      <c r="A12" s="24">
        <v>11</v>
      </c>
      <c r="B12" s="25" t="s">
        <v>87</v>
      </c>
    </row>
    <row r="13" spans="1:2" x14ac:dyDescent="0.25">
      <c r="A13" s="24">
        <v>12</v>
      </c>
      <c r="B13" s="25" t="s">
        <v>88</v>
      </c>
    </row>
    <row r="14" spans="1:2" x14ac:dyDescent="0.25">
      <c r="A14" s="24">
        <v>13</v>
      </c>
      <c r="B14" s="25" t="s">
        <v>89</v>
      </c>
    </row>
    <row r="15" spans="1:2" x14ac:dyDescent="0.25">
      <c r="A15" s="24">
        <v>14</v>
      </c>
      <c r="B15" s="25" t="s">
        <v>90</v>
      </c>
    </row>
    <row r="16" spans="1:2" x14ac:dyDescent="0.25">
      <c r="A16" s="24">
        <v>15</v>
      </c>
      <c r="B16" s="25" t="s">
        <v>91</v>
      </c>
    </row>
    <row r="17" spans="1:2" x14ac:dyDescent="0.25">
      <c r="A17" s="24">
        <v>16</v>
      </c>
      <c r="B17" s="25" t="s">
        <v>92</v>
      </c>
    </row>
    <row r="18" spans="1:2" x14ac:dyDescent="0.25">
      <c r="A18" s="24">
        <v>17</v>
      </c>
      <c r="B18" s="25" t="s">
        <v>93</v>
      </c>
    </row>
    <row r="19" spans="1:2" x14ac:dyDescent="0.25">
      <c r="A19" s="24">
        <v>18</v>
      </c>
      <c r="B19" s="25" t="s">
        <v>94</v>
      </c>
    </row>
    <row r="20" spans="1:2" x14ac:dyDescent="0.25">
      <c r="A20" s="24">
        <v>19</v>
      </c>
      <c r="B20" s="25" t="s">
        <v>95</v>
      </c>
    </row>
    <row r="21" spans="1:2" x14ac:dyDescent="0.25">
      <c r="A21" s="24">
        <v>20</v>
      </c>
      <c r="B21" s="25" t="s">
        <v>96</v>
      </c>
    </row>
    <row r="22" spans="1:2" x14ac:dyDescent="0.25">
      <c r="A22" s="24">
        <v>21</v>
      </c>
      <c r="B22" s="25" t="s">
        <v>97</v>
      </c>
    </row>
    <row r="23" spans="1:2" x14ac:dyDescent="0.25">
      <c r="A23" s="24">
        <v>22</v>
      </c>
      <c r="B23" s="25" t="s">
        <v>98</v>
      </c>
    </row>
    <row r="24" spans="1:2" x14ac:dyDescent="0.25">
      <c r="A24" s="24">
        <v>23</v>
      </c>
      <c r="B24" s="25" t="s">
        <v>75</v>
      </c>
    </row>
    <row r="25" spans="1:2" x14ac:dyDescent="0.25">
      <c r="A25" s="24">
        <v>24</v>
      </c>
      <c r="B25" s="25" t="s">
        <v>99</v>
      </c>
    </row>
    <row r="26" spans="1:2" x14ac:dyDescent="0.25">
      <c r="A26" s="24">
        <v>25</v>
      </c>
      <c r="B26" s="25" t="s">
        <v>100</v>
      </c>
    </row>
    <row r="27" spans="1:2" x14ac:dyDescent="0.25">
      <c r="A27" s="24">
        <v>26</v>
      </c>
      <c r="B27" s="25" t="s">
        <v>101</v>
      </c>
    </row>
    <row r="28" spans="1:2" x14ac:dyDescent="0.25">
      <c r="A28" s="24">
        <v>27</v>
      </c>
      <c r="B28" s="25" t="s">
        <v>102</v>
      </c>
    </row>
    <row r="29" spans="1:2" x14ac:dyDescent="0.25">
      <c r="A29" s="24">
        <v>28</v>
      </c>
      <c r="B29" s="25" t="s">
        <v>103</v>
      </c>
    </row>
    <row r="30" spans="1:2" x14ac:dyDescent="0.25">
      <c r="A30" s="24">
        <v>29</v>
      </c>
      <c r="B30" s="25" t="s">
        <v>104</v>
      </c>
    </row>
    <row r="31" spans="1:2" x14ac:dyDescent="0.25">
      <c r="A31" s="24">
        <v>30</v>
      </c>
      <c r="B31" s="2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Shaikh Faisal</cp:lastModifiedBy>
  <cp:revision/>
  <dcterms:created xsi:type="dcterms:W3CDTF">2015-06-05T18:17:20Z</dcterms:created>
  <dcterms:modified xsi:type="dcterms:W3CDTF">2026-05-01T07:12:49Z</dcterms:modified>
  <cp:category/>
  <cp:contentStatus/>
</cp:coreProperties>
</file>