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loni Shah\"/>
    </mc:Choice>
  </mc:AlternateContent>
  <xr:revisionPtr revIDLastSave="0" documentId="13_ncr:1_{E0D325E2-7C06-445D-BA79-2C2331DAEB9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Instruction" sheetId="3" r:id="rId2"/>
    <sheet name="Status" sheetId="2" r:id="rId3"/>
  </sheets>
  <definedNames>
    <definedName name="_xlnm._FilterDatabase" localSheetId="0" hidden="1">WIP!$A$7:$M$11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N35" i="1"/>
  <c r="N37" i="1" s="1"/>
  <c r="N26" i="1"/>
  <c r="I20" i="1" l="1"/>
  <c r="I19" i="1"/>
  <c r="I18" i="1"/>
  <c r="I17" i="1"/>
  <c r="I11" i="1"/>
  <c r="I10" i="1"/>
  <c r="I9" i="1"/>
  <c r="L14" i="1"/>
  <c r="K14" i="1"/>
  <c r="J14" i="1"/>
  <c r="I14" i="1" l="1"/>
  <c r="I23" i="1"/>
  <c r="J23" i="1"/>
  <c r="M14" i="1" l="1"/>
  <c r="M23" i="1"/>
  <c r="L23" i="1"/>
  <c r="K23" i="1"/>
  <c r="K6" i="1"/>
  <c r="L6" i="1" s="1"/>
  <c r="M6" i="1" s="1"/>
  <c r="M25" i="1" l="1"/>
  <c r="J25" i="1"/>
  <c r="J29" i="1" s="1"/>
  <c r="K25" i="1"/>
  <c r="K29" i="1" s="1"/>
  <c r="L25" i="1"/>
  <c r="L29" i="1" s="1"/>
  <c r="I25" i="1"/>
</calcChain>
</file>

<file path=xl/sharedStrings.xml><?xml version="1.0" encoding="utf-8"?>
<sst xmlns="http://schemas.openxmlformats.org/spreadsheetml/2006/main" count="91" uniqueCount="77">
  <si>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</si>
  <si>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</si>
  <si>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</si>
  <si>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</si>
  <si>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</si>
  <si>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</si>
  <si>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</si>
  <si>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</si>
  <si>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</si>
  <si>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</si>
  <si>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</si>
  <si>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</si>
  <si>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</si>
  <si>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</si>
  <si>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</si>
  <si>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</si>
  <si>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</si>
  <si>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</si>
  <si>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</si>
  <si>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</si>
  <si>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</si>
  <si>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</si>
  <si>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</si>
  <si>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</si>
  <si>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</si>
  <si>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</si>
  <si>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</si>
  <si>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</si>
  <si>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</si>
  <si>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</si>
  <si>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</si>
  <si>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</si>
  <si>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</si>
  <si>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</si>
  <si>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</si>
  <si>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</si>
  <si>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</si>
  <si>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</si>
  <si>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</si>
  <si>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</si>
  <si>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</si>
  <si>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</si>
  <si>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</si>
  <si>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</si>
  <si>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</si>
  <si>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</si>
  <si>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</si>
  <si>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</si>
  <si>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</si>
  <si>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</si>
  <si>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</si>
  <si>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</si>
  <si>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</si>
  <si>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</si>
  <si>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</si>
  <si>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</si>
  <si>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</si>
  <si>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</si>
  <si>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</si>
  <si>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</si>
  <si>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</si>
  <si>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</si>
  <si>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</si>
  <si>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</si>
  <si>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</si>
  <si>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</si>
  <si>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</si>
  <si>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</si>
  <si>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</si>
  <si>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</si>
  <si>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</si>
  <si>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</si>
  <si>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Saloni Shah</t>
  </si>
  <si>
    <t>Staff</t>
  </si>
  <si>
    <t>Kaushik Prajapat</t>
  </si>
  <si>
    <t>Clark &amp; Sons Inc.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</si>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</sst>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0" borderId="0" xfId="0" applyNumberFormat="1"/>
    <xf numFmtId="0" fontId="1" fillId="8" borderId="3" xfId="0" applyFont="1" applyFill="1" applyBorder="1"/>
    <xf numFmtId="0" fontId="0" fillId="8" borderId="3" xfId="0" applyFill="1" applyBorder="1"/>
    <xf numFmtId="0" fontId="0" fillId="2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topLeftCell="A4" zoomScaleNormal="100" workbookViewId="0">
      <pane xSplit="4" topLeftCell="H1" activePane="topRight" state="frozen"/>
      <selection pane="topRight" activeCell="L9" sqref="L9:L11"/>
    </sheetView>
  </sheetViews>
  <sheetFormatPr defaultRowHeight="15" x14ac:dyDescent="0.25"/>
  <cols>
    <col min="1" max="1" width="24.5703125" bestFit="1" customWidth="1"/>
    <col min="2" max="3" width="25.140625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0" width="10.7109375" customWidth="1"/>
    <col min="11" max="11" width="12.28515625" customWidth="1"/>
    <col min="12" max="12" width="10.7109375" bestFit="1" customWidth="1"/>
    <col min="13" max="13" width="10.7109375" customWidth="1"/>
  </cols>
  <sheetData>
    <row r="1" spans="1:16" x14ac:dyDescent="0.25">
      <c r="A1" s="1" t="s">
        <v>0</v>
      </c>
      <c r="H1" s="11"/>
    </row>
    <row r="2" spans="1:16" x14ac:dyDescent="0.25">
      <c r="A2" s="1" t="s">
        <v>1</v>
      </c>
      <c r="B2" s="9" t="s">
        <v>74</v>
      </c>
      <c r="C2" s="9"/>
      <c r="H2" s="1"/>
      <c r="I2" s="1"/>
      <c r="J2" s="10"/>
      <c r="K2" s="10"/>
      <c r="L2" s="10"/>
      <c r="M2" s="10"/>
    </row>
    <row r="3" spans="1:16" x14ac:dyDescent="0.25">
      <c r="A3" s="1" t="s">
        <v>2</v>
      </c>
      <c r="B3" s="9" t="s">
        <v>73</v>
      </c>
      <c r="C3" s="9"/>
      <c r="H3" s="1"/>
      <c r="I3" s="1"/>
      <c r="J3" s="10"/>
      <c r="K3" s="10"/>
      <c r="L3" s="10"/>
      <c r="M3" s="10"/>
    </row>
    <row r="4" spans="1:16" x14ac:dyDescent="0.25">
      <c r="A4" s="1" t="s">
        <v>3</v>
      </c>
      <c r="B4" s="9" t="s">
        <v>72</v>
      </c>
      <c r="C4" s="9"/>
      <c r="H4" s="1"/>
      <c r="I4" s="1"/>
      <c r="J4" s="10"/>
      <c r="K4" s="10"/>
      <c r="L4" s="10"/>
      <c r="M4" s="10"/>
    </row>
    <row r="5" spans="1:16" x14ac:dyDescent="0.25">
      <c r="A5" s="1"/>
      <c r="B5" s="9"/>
      <c r="C5" s="9"/>
    </row>
    <row r="6" spans="1:16" x14ac:dyDescent="0.25">
      <c r="I6" s="7" t="s">
        <v>4</v>
      </c>
      <c r="J6" s="26">
        <v>46146</v>
      </c>
      <c r="K6" s="2">
        <f t="shared" ref="K6:M6" si="0">J6+7</f>
        <v>46153</v>
      </c>
      <c r="L6" s="2">
        <f t="shared" si="0"/>
        <v>46160</v>
      </c>
      <c r="M6" s="2">
        <f t="shared" si="0"/>
        <v>46167</v>
      </c>
      <c r="N6" t="s">
        <v>76</v>
      </c>
    </row>
    <row r="7" spans="1:16" ht="30" x14ac:dyDescent="0.25">
      <c r="A7" s="3" t="s">
        <v>5</v>
      </c>
      <c r="B7" s="3" t="s">
        <v>6</v>
      </c>
      <c r="C7" s="3" t="s">
        <v>7</v>
      </c>
      <c r="D7" s="23" t="s">
        <v>39</v>
      </c>
      <c r="E7" s="3" t="s">
        <v>8</v>
      </c>
      <c r="F7" s="3" t="s">
        <v>9</v>
      </c>
      <c r="G7" s="3" t="s">
        <v>10</v>
      </c>
      <c r="H7" s="2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0" t="s">
        <v>76</v>
      </c>
    </row>
    <row r="8" spans="1:16" x14ac:dyDescent="0.25">
      <c r="A8" s="6" t="s">
        <v>17</v>
      </c>
      <c r="B8" s="4"/>
      <c r="C8" s="4"/>
      <c r="D8" s="23"/>
      <c r="E8" s="4"/>
      <c r="F8" s="4"/>
      <c r="G8" s="4"/>
      <c r="H8" s="23"/>
      <c r="I8" s="4"/>
      <c r="J8" s="4"/>
      <c r="K8" s="4"/>
      <c r="L8" s="4"/>
      <c r="M8" s="4"/>
      <c r="N8" s="5"/>
    </row>
    <row r="9" spans="1:16" x14ac:dyDescent="0.25">
      <c r="A9">
        <v>1</v>
      </c>
      <c r="B9" t="s">
        <v>75</v>
      </c>
      <c r="C9" t="s">
        <v>75</v>
      </c>
      <c r="D9" s="24" t="s">
        <v>41</v>
      </c>
      <c r="E9" s="2">
        <v>46082</v>
      </c>
      <c r="F9" s="2"/>
      <c r="G9" s="2"/>
      <c r="H9" s="24" t="s">
        <v>38</v>
      </c>
      <c r="I9" s="27">
        <f>SUM(J9:O9)</f>
        <v>17.5</v>
      </c>
      <c r="J9" s="13">
        <v>8.5</v>
      </c>
      <c r="K9" s="13">
        <v>9</v>
      </c>
      <c r="L9" s="13"/>
      <c r="M9" s="13"/>
    </row>
    <row r="10" spans="1:16" x14ac:dyDescent="0.25">
      <c r="A10">
        <v>2</v>
      </c>
      <c r="B10" t="s">
        <v>75</v>
      </c>
      <c r="C10" t="s">
        <v>75</v>
      </c>
      <c r="D10" s="24" t="s">
        <v>46</v>
      </c>
      <c r="E10" s="2">
        <v>46082</v>
      </c>
      <c r="F10" s="2"/>
      <c r="G10" s="2"/>
      <c r="H10" s="24" t="s">
        <v>38</v>
      </c>
      <c r="I10" s="27">
        <f>SUM(J10:O10)</f>
        <v>49.5</v>
      </c>
      <c r="J10" s="13">
        <v>24</v>
      </c>
      <c r="K10" s="13">
        <v>25.5</v>
      </c>
      <c r="L10" s="13"/>
      <c r="M10" s="13"/>
    </row>
    <row r="11" spans="1:16" x14ac:dyDescent="0.25">
      <c r="A11">
        <v>3</v>
      </c>
      <c r="B11" t="s">
        <v>75</v>
      </c>
      <c r="C11" t="s">
        <v>75</v>
      </c>
      <c r="D11" s="24" t="s">
        <v>51</v>
      </c>
      <c r="E11" s="2">
        <v>46082</v>
      </c>
      <c r="G11" s="2"/>
      <c r="H11" s="24" t="s">
        <v>38</v>
      </c>
      <c r="I11" s="27">
        <f>SUM(J11:O11)</f>
        <v>12</v>
      </c>
      <c r="J11" s="13">
        <v>7</v>
      </c>
      <c r="K11" s="13">
        <v>5</v>
      </c>
      <c r="L11" s="13"/>
      <c r="M11" s="13"/>
      <c r="O11" s="13"/>
      <c r="P11" s="27"/>
    </row>
    <row r="12" spans="1:16" x14ac:dyDescent="0.25">
      <c r="D12" s="24"/>
      <c r="E12" s="2"/>
      <c r="G12" s="2"/>
      <c r="H12" s="24"/>
      <c r="J12" s="13"/>
      <c r="K12" s="13"/>
      <c r="L12" s="13"/>
      <c r="M12" s="13"/>
    </row>
    <row r="13" spans="1:16" x14ac:dyDescent="0.25">
      <c r="D13" s="24"/>
      <c r="H13" s="24"/>
      <c r="P13" s="27"/>
    </row>
    <row r="14" spans="1:16" ht="15.75" thickBot="1" x14ac:dyDescent="0.3">
      <c r="A14" s="12" t="s">
        <v>19</v>
      </c>
      <c r="B14" s="8"/>
      <c r="C14" s="8"/>
      <c r="D14" s="8"/>
      <c r="E14" s="8"/>
      <c r="F14" s="8"/>
      <c r="G14" s="8"/>
      <c r="H14" s="8"/>
      <c r="I14" s="14">
        <f>SUM(I9:I13)</f>
        <v>79</v>
      </c>
      <c r="J14" s="14">
        <f>SUM(J9:J13)</f>
        <v>39.5</v>
      </c>
      <c r="K14" s="14">
        <f>SUM(K9:K13)</f>
        <v>39.5</v>
      </c>
      <c r="L14" s="14">
        <f>SUM(L9:L13)</f>
        <v>0</v>
      </c>
      <c r="M14" s="14">
        <f>SUM(M8:M12)</f>
        <v>0</v>
      </c>
    </row>
    <row r="15" spans="1:16" ht="15.75" thickTop="1" x14ac:dyDescent="0.25">
      <c r="I15" s="13"/>
      <c r="J15" s="13"/>
      <c r="K15" s="13"/>
      <c r="L15" s="13"/>
      <c r="M15" s="13"/>
    </row>
    <row r="16" spans="1:16" x14ac:dyDescent="0.25">
      <c r="A16" s="1" t="s">
        <v>20</v>
      </c>
      <c r="I16" s="13"/>
      <c r="J16" s="13"/>
      <c r="K16" s="13"/>
      <c r="L16" s="13"/>
      <c r="M16" s="13"/>
    </row>
    <row r="17" spans="1:14" x14ac:dyDescent="0.25">
      <c r="B17" t="s">
        <v>21</v>
      </c>
      <c r="I17" s="27">
        <f>SUM(J17:O17)</f>
        <v>1</v>
      </c>
      <c r="J17" s="13">
        <v>0.5</v>
      </c>
      <c r="K17" s="13">
        <v>0.5</v>
      </c>
      <c r="L17" s="13"/>
      <c r="M17" s="13"/>
    </row>
    <row r="18" spans="1:14" x14ac:dyDescent="0.25">
      <c r="B18" t="s">
        <v>22</v>
      </c>
      <c r="I18" s="27">
        <f>SUM(J18:O18)</f>
        <v>0</v>
      </c>
      <c r="J18" s="13">
        <v>0</v>
      </c>
      <c r="K18" s="13"/>
      <c r="L18" s="13"/>
      <c r="M18" s="13"/>
    </row>
    <row r="19" spans="1:14" x14ac:dyDescent="0.25">
      <c r="B19" t="s">
        <v>23</v>
      </c>
      <c r="I19" s="27">
        <f>SUM(J19:O19)</f>
        <v>0</v>
      </c>
      <c r="J19" s="13"/>
      <c r="K19" s="13"/>
      <c r="L19" s="13"/>
      <c r="M19" s="13"/>
    </row>
    <row r="20" spans="1:14" x14ac:dyDescent="0.25">
      <c r="B20" t="s">
        <v>24</v>
      </c>
      <c r="I20" s="27">
        <f>SUM(J20:O20)</f>
        <v>0</v>
      </c>
      <c r="J20" s="13">
        <v>0</v>
      </c>
      <c r="K20" s="13"/>
      <c r="L20" s="13"/>
      <c r="M20" s="13"/>
    </row>
    <row r="21" spans="1:14" x14ac:dyDescent="0.25">
      <c r="B21" t="s">
        <v>25</v>
      </c>
      <c r="I21" s="13"/>
      <c r="J21" s="13"/>
      <c r="K21" s="13">
        <v>0</v>
      </c>
      <c r="L21" s="13">
        <v>0</v>
      </c>
      <c r="M21" s="13"/>
    </row>
    <row r="23" spans="1:14" ht="15.75" thickBot="1" x14ac:dyDescent="0.3">
      <c r="A23" s="12" t="s">
        <v>26</v>
      </c>
      <c r="B23" s="8"/>
      <c r="C23" s="8"/>
      <c r="D23" s="8"/>
      <c r="E23" s="8"/>
      <c r="F23" s="8"/>
      <c r="G23" s="8"/>
      <c r="H23" s="8"/>
      <c r="I23" s="14">
        <f>SUM(I17:I22)</f>
        <v>1</v>
      </c>
      <c r="J23" s="14">
        <f>SUM(J17:J22)</f>
        <v>0.5</v>
      </c>
      <c r="K23" s="14">
        <f t="shared" ref="K23:M23" si="1">SUM(K17:K22)</f>
        <v>0.5</v>
      </c>
      <c r="L23" s="14">
        <f t="shared" si="1"/>
        <v>0</v>
      </c>
      <c r="M23" s="14">
        <f t="shared" si="1"/>
        <v>0</v>
      </c>
    </row>
    <row r="24" spans="1:14" ht="15.75" thickTop="1" x14ac:dyDescent="0.25">
      <c r="I24" s="13"/>
      <c r="J24" s="13"/>
      <c r="K24" s="13"/>
      <c r="L24" s="13"/>
      <c r="M24" s="13"/>
    </row>
    <row r="25" spans="1:14" ht="15.75" thickBot="1" x14ac:dyDescent="0.3">
      <c r="A25" s="12" t="s">
        <v>27</v>
      </c>
      <c r="B25" s="8"/>
      <c r="C25" s="8"/>
      <c r="D25" s="8"/>
      <c r="E25" s="8"/>
      <c r="F25" s="8"/>
      <c r="G25" s="8"/>
      <c r="H25" s="8"/>
      <c r="I25" s="14">
        <f>+I23+I14</f>
        <v>80</v>
      </c>
      <c r="J25" s="14">
        <f t="shared" ref="J25:M25" si="2">+J23+J14</f>
        <v>40</v>
      </c>
      <c r="K25" s="14">
        <f t="shared" si="2"/>
        <v>40</v>
      </c>
      <c r="L25" s="14">
        <f t="shared" si="2"/>
        <v>0</v>
      </c>
      <c r="M25" s="14">
        <f t="shared" si="2"/>
        <v>0</v>
      </c>
    </row>
    <row r="26" spans="1:14" ht="16.5" thickTop="1" thickBot="1" x14ac:dyDescent="0.3">
      <c r="N26" s="14">
        <f t="shared" ref="N26" si="3">SUM(N8:N25)</f>
        <v>0</v>
      </c>
    </row>
    <row r="27" spans="1:14" ht="15.75" thickTop="1" x14ac:dyDescent="0.25">
      <c r="N27" s="13"/>
    </row>
    <row r="28" spans="1:14" ht="15.75" thickBot="1" x14ac:dyDescent="0.3">
      <c r="A28" s="12" t="s">
        <v>28</v>
      </c>
      <c r="B28" s="8"/>
      <c r="C28" s="8"/>
      <c r="D28" s="8"/>
      <c r="E28" s="8"/>
      <c r="F28" s="8"/>
      <c r="G28" s="8"/>
      <c r="H28" s="8"/>
      <c r="I28" s="14"/>
      <c r="J28" s="14">
        <v>40</v>
      </c>
      <c r="K28" s="14">
        <v>40</v>
      </c>
      <c r="L28" s="14"/>
      <c r="M28" s="14"/>
      <c r="N28" s="13"/>
    </row>
    <row r="29" spans="1:14" ht="16.5" thickTop="1" thickBot="1" x14ac:dyDescent="0.3">
      <c r="A29" s="12" t="s">
        <v>29</v>
      </c>
      <c r="B29" s="8"/>
      <c r="C29" s="8"/>
      <c r="D29" s="8"/>
      <c r="E29" s="8"/>
      <c r="F29" s="8"/>
      <c r="G29" s="8"/>
      <c r="H29" s="8"/>
      <c r="I29" s="14"/>
      <c r="J29" s="14">
        <f>+J28-J25</f>
        <v>0</v>
      </c>
      <c r="K29" s="14">
        <f t="shared" ref="K29:M29" si="4">+K28-K25</f>
        <v>0</v>
      </c>
      <c r="L29" s="14">
        <f t="shared" si="4"/>
        <v>0</v>
      </c>
      <c r="M29" s="14">
        <f t="shared" si="4"/>
        <v>0</v>
      </c>
      <c r="N29" s="13"/>
    </row>
    <row r="30" spans="1:14" ht="15.75" thickTop="1" x14ac:dyDescent="0.25">
      <c r="N30" s="13"/>
    </row>
    <row r="31" spans="1:14" x14ac:dyDescent="0.25">
      <c r="N31" s="13"/>
    </row>
    <row r="32" spans="1:14" x14ac:dyDescent="0.25">
      <c r="N32" s="13"/>
    </row>
    <row r="33" spans="14:14" x14ac:dyDescent="0.25">
      <c r="N33" s="13"/>
    </row>
    <row r="35" spans="14:14" ht="15.75" thickBot="1" x14ac:dyDescent="0.3">
      <c r="N35" s="14">
        <f t="shared" ref="N35" si="5">SUM(N29:N34)</f>
        <v>0</v>
      </c>
    </row>
    <row r="36" spans="14:14" ht="15.75" thickTop="1" x14ac:dyDescent="0.25">
      <c r="N36" s="13"/>
    </row>
    <row r="37" spans="14:14" ht="15.75" thickBot="1" x14ac:dyDescent="0.3">
      <c r="N37" s="14">
        <f t="shared" ref="N37" si="6">+N35+N26</f>
        <v>0</v>
      </c>
    </row>
    <row r="38" spans="14:14" ht="15.75" thickTop="1" x14ac:dyDescent="0.25"/>
    <row r="40" spans="14:14" ht="15.75" thickBot="1" x14ac:dyDescent="0.3">
      <c r="N40" s="14"/>
    </row>
    <row r="41" spans="14:14" ht="16.5" thickTop="1" thickBot="1" x14ac:dyDescent="0.3">
      <c r="N41" s="14"/>
    </row>
    <row r="42" spans="14:14" ht="15.75" thickTop="1" x14ac:dyDescent="0.25"/>
  </sheetData>
  <protectedRanges>
    <protectedRange sqref="E13:M13 A13:C13 O8:XFD13 A9:A12 G9:H10 F11:H12 O17:XFD22 A8:M8 A17:M22 I9:M12" name="Range1"/>
    <protectedRange sqref="B9:C12" name="Range1_1"/>
    <protectedRange sqref="D9:D13" name="Range1_2"/>
    <protectedRange sqref="E9:F10 E11:E12" name="Range1_3"/>
    <protectedRange sqref="N8 N29:N34 N10:N25" name="Range1_4"/>
    <protectedRange sqref="N9" name="Range1_4_1"/>
  </protectedRanges>
  <autoFilter ref="A7:M11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Status!$B$14:$B$21</xm:f>
          </x14:formula1>
          <xm:sqref>H9:H13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7" sqref="A7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1"/>
  <sheetViews>
    <sheetView workbookViewId="0">
      <selection activeCell="C4" sqref="C4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28" t="s">
        <v>46</v>
      </c>
      <c r="C4" s="29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28" t="s">
        <v>41</v>
      </c>
      <c r="C6" s="29" t="s">
        <v>50</v>
      </c>
    </row>
    <row r="7" spans="2:3" x14ac:dyDescent="0.25">
      <c r="B7" s="28" t="s">
        <v>51</v>
      </c>
      <c r="C7" s="29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55</v>
      </c>
      <c r="C10" s="20" t="s">
        <v>56</v>
      </c>
    </row>
    <row r="13" spans="2:3" ht="16.5" x14ac:dyDescent="0.25">
      <c r="B13" s="22" t="s">
        <v>57</v>
      </c>
      <c r="C13" s="22" t="s">
        <v>44</v>
      </c>
    </row>
    <row r="14" spans="2:3" x14ac:dyDescent="0.25">
      <c r="B14" s="21" t="s">
        <v>30</v>
      </c>
      <c r="C14" s="20" t="s">
        <v>58</v>
      </c>
    </row>
    <row r="15" spans="2:3" x14ac:dyDescent="0.25">
      <c r="B15" s="21" t="s">
        <v>59</v>
      </c>
      <c r="C15" s="20" t="s">
        <v>60</v>
      </c>
    </row>
    <row r="16" spans="2:3" x14ac:dyDescent="0.25">
      <c r="B16" s="21" t="s">
        <v>38</v>
      </c>
      <c r="C16" s="20" t="s">
        <v>61</v>
      </c>
    </row>
    <row r="17" spans="2:3" x14ac:dyDescent="0.25">
      <c r="B17" s="21" t="s">
        <v>18</v>
      </c>
      <c r="C17" s="20" t="s">
        <v>62</v>
      </c>
    </row>
    <row r="18" spans="2:3" x14ac:dyDescent="0.25">
      <c r="B18" s="21" t="s">
        <v>31</v>
      </c>
      <c r="C18" s="20" t="s">
        <v>63</v>
      </c>
    </row>
    <row r="19" spans="2:3" x14ac:dyDescent="0.25">
      <c r="B19" s="21" t="s">
        <v>32</v>
      </c>
      <c r="C19" s="20" t="s">
        <v>64</v>
      </c>
    </row>
    <row r="20" spans="2:3" x14ac:dyDescent="0.25">
      <c r="B20" s="21" t="s">
        <v>65</v>
      </c>
      <c r="C20" s="20" t="s">
        <v>66</v>
      </c>
    </row>
    <row r="21" spans="2:3" x14ac:dyDescent="0.25">
      <c r="B21" s="21" t="s">
        <v>37</v>
      </c>
      <c r="C21" s="20" t="s">
        <v>67</v>
      </c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Instruction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Kaushik Prajapat</cp:lastModifiedBy>
  <cp:revision/>
  <dcterms:created xsi:type="dcterms:W3CDTF">2015-06-05T18:17:20Z</dcterms:created>
  <dcterms:modified xsi:type="dcterms:W3CDTF">2026-05-01T11:49:36Z</dcterms:modified>
  <cp:category/>
  <cp:contentStatus/>
</cp:coreProperties>
</file>