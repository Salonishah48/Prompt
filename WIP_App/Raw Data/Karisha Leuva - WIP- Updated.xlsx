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Pragnesh Soni\"/>
    </mc:Choice>
  </mc:AlternateContent>
  <xr:revisionPtr revIDLastSave="0" documentId="13_ncr:1_{22BBE085-DE19-420F-A1FF-61DBABF9EDA5}" xr6:coauthVersionLast="47" xr6:coauthVersionMax="47" xr10:uidLastSave="{00000000-0000-0000-0000-000000000000}"/>
  <bookViews>
    <workbookView xWindow="-120" yWindow="-120" windowWidth="20730" windowHeight="11040" xr2:uid="{B02487C1-7B00-46FB-9FD9-7E848764AF91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WIP!$A$7:$N$28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" i="1" l="1"/>
  <c r="J83" i="1"/>
  <c r="M68" i="1"/>
  <c r="I66" i="1"/>
  <c r="A66" i="1"/>
  <c r="K68" i="1"/>
  <c r="L68" i="1"/>
  <c r="J68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54" i="1"/>
  <c r="I55" i="1"/>
  <c r="I56" i="1"/>
  <c r="I57" i="1"/>
  <c r="I58" i="1"/>
  <c r="I59" i="1"/>
  <c r="I60" i="1"/>
  <c r="I61" i="1"/>
  <c r="I62" i="1"/>
  <c r="I63" i="1"/>
  <c r="I64" i="1"/>
  <c r="I65" i="1"/>
  <c r="I9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I68" i="1" l="1"/>
  <c r="I75" i="1"/>
  <c r="I74" i="1"/>
  <c r="I73" i="1"/>
  <c r="I72" i="1"/>
  <c r="I71" i="1"/>
  <c r="I77" i="1" l="1"/>
  <c r="I79" i="1" s="1"/>
  <c r="M77" i="1" l="1"/>
  <c r="L77" i="1"/>
  <c r="K77" i="1"/>
  <c r="J77" i="1"/>
  <c r="J79" i="1" s="1"/>
  <c r="K6" i="1"/>
  <c r="L6" i="1" s="1"/>
  <c r="M6" i="1" s="1"/>
  <c r="L79" i="1" l="1"/>
  <c r="L83" i="1" s="1"/>
  <c r="M79" i="1"/>
  <c r="K79" i="1"/>
  <c r="K83" i="1" s="1"/>
</calcChain>
</file>

<file path=xl/sharedStrings.xml><?xml version="1.0" encoding="utf-8"?>
<sst xmlns="http://schemas.openxmlformats.org/spreadsheetml/2006/main" count="315" uniqueCount="137">
  <si>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</si>
  <si>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</si>
  <si>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</si>
  <si>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</si>
  <si>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</si>
  <si>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</si>
  <si>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</si>
  <si>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</si>
  <si>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</si>
  <si>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</si>
  <si>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</si>
  <si>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</si>
  <si>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</si>
  <si>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</si>
  <si>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</si>
  <si>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</si>
  <si>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</si>
  <si>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</si>
  <si>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</si>
  <si>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</si>
  <si>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</si>
  <si>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</si>
  <si>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</si>
  <si>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</si>
  <si>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</si>
  <si>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</si>
  <si>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</si>
  <si>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</si>
  <si>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</si>
  <si>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</si>
  <si>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</si>
  <si>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</si>
  <si>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</si>
  <si>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</si>
  <si>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</si>
  <si>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</si>
  <si>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</si>
  <si>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</si>
  <si>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</si>
  <si>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</si>
  <si>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</si>
  <si>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</si>
  <si>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</si>
  <si>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</si>
  <si>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</si>
  <si>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</si>
  <si>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</si>
  <si>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</si>
  <si>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</si>
  <si>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</si>
  <si>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</si>
  <si>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</si>
  <si>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</si>
  <si>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</si>
  <si>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</si>
  <si>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</si>
  <si>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</si>
  <si>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</si>
  <si>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</si>
  <si>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</si>
  <si>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</si>
  <si>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</si>
  <si>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</si>
  <si>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</si>
  <si>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</si>
  <si>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</si>
  <si>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</si>
  <si>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</si>
  <si>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</si>
  <si>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</si>
  <si>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</si>
  <si>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</si>
  <si>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</si>
  <si>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</si>
  <si>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Call with client</t>
  </si>
  <si>
    <t>Karisha Leuva</t>
  </si>
  <si>
    <t>Semi Senior</t>
  </si>
  <si>
    <t>Blackdog Pub</t>
  </si>
  <si>
    <t>Mission Build</t>
  </si>
  <si>
    <t>Warriror Business Services</t>
  </si>
  <si>
    <t>CED Service LLC</t>
  </si>
  <si>
    <t>Freemans Body Shop</t>
  </si>
  <si>
    <t xml:space="preserve">J RUBLE &amp; SONS TRUCK S </t>
  </si>
  <si>
    <t>Jeremiah Transport</t>
  </si>
  <si>
    <t>Arden Industrial Equipment Inc.</t>
  </si>
  <si>
    <t>Cashboxx</t>
  </si>
  <si>
    <t>CB contracting LLC</t>
  </si>
  <si>
    <t>Daves HotRods</t>
  </si>
  <si>
    <t>Grams Psychoeducational Services LLC</t>
  </si>
  <si>
    <t xml:space="preserve">Jimmys Rentals </t>
  </si>
  <si>
    <t xml:space="preserve">LORV Digital LLC </t>
  </si>
  <si>
    <t xml:space="preserve">Snowba LLC </t>
  </si>
  <si>
    <t xml:space="preserve">Sunnymede Community </t>
  </si>
  <si>
    <t>System Science Institute</t>
  </si>
  <si>
    <t xml:space="preserve">Wallen  Baseball Softball Charities </t>
  </si>
  <si>
    <t>Pragneshkumar Soni</t>
  </si>
  <si>
    <t>Admin-General</t>
  </si>
  <si>
    <t>Joshua Michael Attorney at Law </t>
  </si>
  <si>
    <t>K D Sales Consulting </t>
  </si>
  <si>
    <t>Platinum Pools</t>
  </si>
  <si>
    <t xml:space="preserve">RUBLE FAMILY PROPERTIE </t>
  </si>
  <si>
    <t>Solid Rock Holdings </t>
  </si>
  <si>
    <t xml:space="preserve">The Soundwave Corporation </t>
  </si>
  <si>
    <t>Aero Information (AITS)</t>
  </si>
  <si>
    <t>Custom Home (Cornerstone Custom Home Builders)</t>
  </si>
  <si>
    <t>Fluff &amp; Fold (Laundry Pros)</t>
  </si>
  <si>
    <t>G6 Communications</t>
  </si>
  <si>
    <t>Home Energy Pros</t>
  </si>
  <si>
    <t>Inspirational Construction</t>
  </si>
  <si>
    <t>Oakwood Residences LLC</t>
  </si>
  <si>
    <t>Proper keys LLC-Warsaw Residences LLC-John Murphy</t>
  </si>
  <si>
    <t>Rock Roofing LLC</t>
  </si>
  <si>
    <t>Royal Rentals (Royer's Rentals)</t>
  </si>
  <si>
    <t>Wildlife</t>
  </si>
  <si>
    <t>Core Dental</t>
  </si>
  <si>
    <t>DJB Properties LLC</t>
  </si>
  <si>
    <t>Faylor Construction Universal Windows</t>
  </si>
  <si>
    <t>Comp off leave</t>
  </si>
  <si>
    <t>Abundance Coaching</t>
  </si>
  <si>
    <t>AR Properties</t>
  </si>
  <si>
    <t>Best Transactions LLC </t>
  </si>
  <si>
    <t>Burger Rental</t>
  </si>
  <si>
    <t>Clean Flow Gutter </t>
  </si>
  <si>
    <t>GentleCare</t>
  </si>
  <si>
    <t>Ground Control Asphalt</t>
  </si>
  <si>
    <t xml:space="preserve">Hoosier Shuttle </t>
  </si>
  <si>
    <t>Miller Construction</t>
  </si>
  <si>
    <t>MJM Mechanic service</t>
  </si>
  <si>
    <t>Modern Indiana Homes</t>
  </si>
  <si>
    <t>Pest Patrol </t>
  </si>
  <si>
    <t>Pin Point Directional Drilling, Inc.</t>
  </si>
  <si>
    <t xml:space="preserve">RAMROCK </t>
  </si>
  <si>
    <t>Turning Point Lawn </t>
  </si>
  <si>
    <t xml:space="preserve">YCAE </t>
  </si>
  <si>
    <t>Zimmerman</t>
  </si>
  <si>
    <t xml:space="preserve">B&amp;N RE LLC </t>
  </si>
  <si>
    <t xml:space="preserve">Black Dog Pub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</si>
</sst>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16" fontId="0" fillId="0" borderId="0" xfId="0" applyNumberFormat="1"/>
    <xf numFmtId="2" fontId="0" fillId="0" borderId="0" xfId="0" applyNumberFormat="1"/>
    <xf numFmtId="2" fontId="1" fillId="0" borderId="0" xfId="1" applyNumberFormat="1" applyFont="1"/>
    <xf numFmtId="2" fontId="1" fillId="2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1" applyNumberFormat="1" applyFont="1"/>
    <xf numFmtId="2" fontId="1" fillId="0" borderId="1" xfId="1" applyNumberFormat="1" applyFont="1" applyBorder="1"/>
    <xf numFmtId="2" fontId="0" fillId="0" borderId="0" xfId="0" applyNumberForma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6586CBA7-32C7-43C6-9AEF-2B751472B3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topLeftCell="B1" zoomScale="98" zoomScaleNormal="98" workbookViewId="0">
      <selection activeCell="J7" sqref="J7"/>
    </sheetView>
  </sheetViews>
  <sheetFormatPr defaultRowHeight="15" x14ac:dyDescent="0.25"/>
  <cols>
    <col min="1" max="1" width="15.85546875" style="26" customWidth="1"/>
    <col min="2" max="2" width="25.140625" customWidth="1"/>
    <col min="3" max="3" width="25.5703125" customWidth="1"/>
    <col min="4" max="4" width="41.85546875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style="30" bestFit="1" customWidth="1"/>
    <col min="13" max="13" width="10.7109375" style="30" customWidth="1"/>
  </cols>
  <sheetData>
    <row r="1" spans="1:14" x14ac:dyDescent="0.25">
      <c r="A1" s="25" t="s">
        <v>0</v>
      </c>
      <c r="H1" s="10"/>
    </row>
    <row r="2" spans="1:14" x14ac:dyDescent="0.25">
      <c r="A2" s="25" t="s">
        <v>1</v>
      </c>
      <c r="B2" s="8" t="s">
        <v>75</v>
      </c>
      <c r="G2" s="1"/>
      <c r="H2" s="1"/>
      <c r="I2" s="9"/>
      <c r="J2" s="31"/>
      <c r="K2" s="31"/>
      <c r="L2" s="31"/>
    </row>
    <row r="3" spans="1:14" x14ac:dyDescent="0.25">
      <c r="A3" s="25" t="s">
        <v>2</v>
      </c>
      <c r="B3" s="8" t="s">
        <v>76</v>
      </c>
      <c r="G3" s="1"/>
      <c r="H3" s="1"/>
      <c r="I3" s="9"/>
      <c r="J3" s="31"/>
      <c r="K3" s="31"/>
      <c r="L3" s="31"/>
    </row>
    <row r="4" spans="1:14" x14ac:dyDescent="0.25">
      <c r="A4" s="25" t="s">
        <v>3</v>
      </c>
      <c r="B4" s="8" t="s">
        <v>95</v>
      </c>
      <c r="G4" s="1"/>
      <c r="H4" s="1"/>
      <c r="I4" s="9"/>
      <c r="J4" s="31"/>
      <c r="K4" s="31"/>
      <c r="L4" s="31"/>
    </row>
    <row r="5" spans="1:14" x14ac:dyDescent="0.25">
      <c r="A5" s="25"/>
      <c r="B5" s="8"/>
      <c r="C5" s="8"/>
    </row>
    <row r="6" spans="1:14" x14ac:dyDescent="0.25">
      <c r="I6" s="6" t="s">
        <v>4</v>
      </c>
      <c r="J6" s="24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1" t="s">
        <v>40</v>
      </c>
      <c r="E7" s="3" t="s">
        <v>9</v>
      </c>
      <c r="F7" s="3" t="s">
        <v>10</v>
      </c>
      <c r="G7" s="3" t="s">
        <v>11</v>
      </c>
      <c r="H7" s="21" t="s">
        <v>12</v>
      </c>
      <c r="I7" s="3" t="s">
        <v>13</v>
      </c>
      <c r="J7" s="32" t="s">
        <v>14</v>
      </c>
      <c r="K7" s="32" t="s">
        <v>15</v>
      </c>
      <c r="L7" s="32" t="s">
        <v>16</v>
      </c>
      <c r="M7" s="32" t="s">
        <v>17</v>
      </c>
      <c r="N7" s="4" t="s">
        <v>5</v>
      </c>
    </row>
    <row r="8" spans="1:14" x14ac:dyDescent="0.25">
      <c r="A8" s="27" t="s">
        <v>18</v>
      </c>
      <c r="B8" s="5"/>
      <c r="C8" s="5"/>
      <c r="D8" s="21"/>
      <c r="E8" s="5"/>
      <c r="F8" s="5"/>
      <c r="G8" s="5"/>
      <c r="H8" s="21"/>
      <c r="I8" s="5"/>
      <c r="J8" s="33"/>
      <c r="L8" s="33"/>
      <c r="M8" s="36"/>
    </row>
    <row r="9" spans="1:14" x14ac:dyDescent="0.25">
      <c r="A9" s="26">
        <v>1</v>
      </c>
      <c r="B9" t="s">
        <v>79</v>
      </c>
      <c r="C9" t="s">
        <v>96</v>
      </c>
      <c r="D9" s="22" t="s">
        <v>73</v>
      </c>
      <c r="E9" s="2">
        <v>46143</v>
      </c>
      <c r="F9" s="2"/>
      <c r="G9" s="2"/>
      <c r="H9" s="22" t="s">
        <v>31</v>
      </c>
      <c r="I9" s="11">
        <f>+SUM(J9:M9)</f>
        <v>4</v>
      </c>
      <c r="J9" s="34">
        <v>1</v>
      </c>
      <c r="K9" s="34">
        <v>1</v>
      </c>
      <c r="L9" s="34">
        <v>1</v>
      </c>
      <c r="M9" s="34">
        <v>1</v>
      </c>
    </row>
    <row r="10" spans="1:14" x14ac:dyDescent="0.25">
      <c r="A10" s="26">
        <v>2</v>
      </c>
      <c r="B10" t="s">
        <v>79</v>
      </c>
      <c r="C10" t="s">
        <v>77</v>
      </c>
      <c r="D10" s="22" t="s">
        <v>47</v>
      </c>
      <c r="E10" s="2">
        <v>46143</v>
      </c>
      <c r="F10" s="2"/>
      <c r="G10" s="2"/>
      <c r="H10" s="22" t="s">
        <v>31</v>
      </c>
      <c r="I10" s="11">
        <f t="shared" ref="I10:I66" si="0">+SUM(J10:M10)</f>
        <v>5</v>
      </c>
      <c r="J10" s="34">
        <v>1.25</v>
      </c>
      <c r="K10" s="34">
        <v>1.25</v>
      </c>
      <c r="L10" s="34">
        <v>1.25</v>
      </c>
      <c r="M10" s="34">
        <v>1.25</v>
      </c>
    </row>
    <row r="11" spans="1:14" x14ac:dyDescent="0.25">
      <c r="A11" s="26">
        <v>3</v>
      </c>
      <c r="B11" t="s">
        <v>79</v>
      </c>
      <c r="C11" t="s">
        <v>104</v>
      </c>
      <c r="D11" s="22" t="s">
        <v>52</v>
      </c>
      <c r="E11" s="2">
        <v>46146</v>
      </c>
      <c r="F11" s="2"/>
      <c r="G11" s="2"/>
      <c r="H11" s="22" t="s">
        <v>31</v>
      </c>
      <c r="I11" s="11">
        <f t="shared" si="0"/>
        <v>5</v>
      </c>
      <c r="J11" s="34">
        <v>5</v>
      </c>
      <c r="K11" s="34"/>
      <c r="L11" s="34"/>
      <c r="M11" s="34"/>
    </row>
    <row r="12" spans="1:14" x14ac:dyDescent="0.25">
      <c r="A12" s="26">
        <f>+A11+1</f>
        <v>4</v>
      </c>
      <c r="B12" t="s">
        <v>79</v>
      </c>
      <c r="C12" t="s">
        <v>105</v>
      </c>
      <c r="D12" s="22" t="s">
        <v>52</v>
      </c>
      <c r="E12" s="2">
        <v>46146</v>
      </c>
      <c r="F12" s="2"/>
      <c r="G12" s="2"/>
      <c r="H12" s="22" t="s">
        <v>31</v>
      </c>
      <c r="I12" s="11">
        <f t="shared" si="0"/>
        <v>4</v>
      </c>
      <c r="J12" s="34">
        <v>4</v>
      </c>
      <c r="K12" s="34"/>
    </row>
    <row r="13" spans="1:14" x14ac:dyDescent="0.25">
      <c r="A13" s="26">
        <f t="shared" ref="A13:A66" si="1">+A12+1</f>
        <v>5</v>
      </c>
      <c r="B13" t="s">
        <v>79</v>
      </c>
      <c r="C13" t="s">
        <v>106</v>
      </c>
      <c r="D13" s="22" t="s">
        <v>52</v>
      </c>
      <c r="E13" s="2">
        <v>46146</v>
      </c>
      <c r="F13" s="2"/>
      <c r="G13" s="2"/>
      <c r="H13" s="22" t="s">
        <v>31</v>
      </c>
      <c r="I13" s="11">
        <f t="shared" si="0"/>
        <v>1.5</v>
      </c>
      <c r="J13" s="34">
        <v>1.5</v>
      </c>
      <c r="K13" s="34"/>
    </row>
    <row r="14" spans="1:14" x14ac:dyDescent="0.25">
      <c r="A14" s="26">
        <f t="shared" si="1"/>
        <v>6</v>
      </c>
      <c r="B14" t="s">
        <v>79</v>
      </c>
      <c r="C14" t="s">
        <v>107</v>
      </c>
      <c r="D14" s="22" t="s">
        <v>52</v>
      </c>
      <c r="E14" s="2">
        <v>46146</v>
      </c>
      <c r="F14" s="2"/>
      <c r="G14" s="2"/>
      <c r="H14" s="22" t="s">
        <v>31</v>
      </c>
      <c r="I14" s="11">
        <f t="shared" si="0"/>
        <v>6</v>
      </c>
      <c r="J14" s="34">
        <v>6</v>
      </c>
      <c r="K14" s="34"/>
    </row>
    <row r="15" spans="1:14" x14ac:dyDescent="0.25">
      <c r="A15" s="26">
        <f t="shared" si="1"/>
        <v>7</v>
      </c>
      <c r="B15" t="s">
        <v>79</v>
      </c>
      <c r="C15" t="s">
        <v>108</v>
      </c>
      <c r="D15" s="22" t="s">
        <v>52</v>
      </c>
      <c r="E15" s="2">
        <v>46146</v>
      </c>
      <c r="F15" s="2"/>
      <c r="G15" s="2"/>
      <c r="H15" s="22" t="s">
        <v>31</v>
      </c>
      <c r="I15" s="11">
        <f t="shared" si="0"/>
        <v>2</v>
      </c>
      <c r="J15" s="34">
        <v>2</v>
      </c>
      <c r="K15" s="34"/>
    </row>
    <row r="16" spans="1:14" x14ac:dyDescent="0.25">
      <c r="A16" s="26">
        <f t="shared" si="1"/>
        <v>8</v>
      </c>
      <c r="B16" t="s">
        <v>79</v>
      </c>
      <c r="C16" t="s">
        <v>109</v>
      </c>
      <c r="D16" s="22" t="s">
        <v>52</v>
      </c>
      <c r="E16" s="2">
        <v>46146</v>
      </c>
      <c r="F16" s="2"/>
      <c r="G16" s="2"/>
      <c r="H16" s="22" t="s">
        <v>31</v>
      </c>
      <c r="I16" s="11">
        <f t="shared" si="0"/>
        <v>2</v>
      </c>
      <c r="J16" s="34">
        <v>2</v>
      </c>
      <c r="K16" s="34"/>
    </row>
    <row r="17" spans="1:11" x14ac:dyDescent="0.25">
      <c r="A17" s="26">
        <f t="shared" si="1"/>
        <v>9</v>
      </c>
      <c r="B17" t="s">
        <v>79</v>
      </c>
      <c r="C17" t="s">
        <v>110</v>
      </c>
      <c r="D17" s="22" t="s">
        <v>52</v>
      </c>
      <c r="E17" s="2">
        <v>46146</v>
      </c>
      <c r="F17" s="2"/>
      <c r="G17" s="2"/>
      <c r="H17" s="22" t="s">
        <v>31</v>
      </c>
      <c r="I17" s="11">
        <f t="shared" si="0"/>
        <v>2</v>
      </c>
      <c r="J17" s="34">
        <v>2</v>
      </c>
      <c r="K17" s="34"/>
    </row>
    <row r="18" spans="1:11" x14ac:dyDescent="0.25">
      <c r="A18" s="26">
        <f t="shared" si="1"/>
        <v>10</v>
      </c>
      <c r="B18" t="s">
        <v>79</v>
      </c>
      <c r="C18" t="s">
        <v>111</v>
      </c>
      <c r="D18" s="22" t="s">
        <v>52</v>
      </c>
      <c r="E18" s="2">
        <v>46146</v>
      </c>
      <c r="F18" s="2"/>
      <c r="G18" s="2"/>
      <c r="H18" s="22" t="s">
        <v>31</v>
      </c>
      <c r="I18" s="11">
        <f t="shared" si="0"/>
        <v>2.5</v>
      </c>
      <c r="J18" s="34">
        <v>2.5</v>
      </c>
      <c r="K18" s="34"/>
    </row>
    <row r="19" spans="1:11" x14ac:dyDescent="0.25">
      <c r="A19" s="26">
        <f t="shared" si="1"/>
        <v>11</v>
      </c>
      <c r="B19" t="s">
        <v>79</v>
      </c>
      <c r="C19" t="s">
        <v>112</v>
      </c>
      <c r="D19" s="22" t="s">
        <v>52</v>
      </c>
      <c r="E19" s="2">
        <v>46146</v>
      </c>
      <c r="F19" s="2"/>
      <c r="H19" s="22" t="s">
        <v>31</v>
      </c>
      <c r="I19" s="11">
        <f t="shared" si="0"/>
        <v>2</v>
      </c>
      <c r="J19" s="34">
        <v>2</v>
      </c>
      <c r="K19" s="34"/>
    </row>
    <row r="20" spans="1:11" x14ac:dyDescent="0.25">
      <c r="A20" s="26">
        <f t="shared" si="1"/>
        <v>12</v>
      </c>
      <c r="B20" t="s">
        <v>79</v>
      </c>
      <c r="C20" t="s">
        <v>113</v>
      </c>
      <c r="D20" s="22" t="s">
        <v>52</v>
      </c>
      <c r="E20" s="2">
        <v>46146</v>
      </c>
      <c r="F20" s="2"/>
      <c r="H20" s="22" t="s">
        <v>31</v>
      </c>
      <c r="I20" s="11">
        <f t="shared" si="0"/>
        <v>1</v>
      </c>
      <c r="J20" s="34">
        <v>1</v>
      </c>
      <c r="K20" s="34"/>
    </row>
    <row r="21" spans="1:11" x14ac:dyDescent="0.25">
      <c r="A21" s="26">
        <f t="shared" si="1"/>
        <v>13</v>
      </c>
      <c r="B21" t="s">
        <v>79</v>
      </c>
      <c r="C21" t="s">
        <v>118</v>
      </c>
      <c r="D21" s="22" t="s">
        <v>52</v>
      </c>
      <c r="E21" s="2">
        <v>46146</v>
      </c>
      <c r="F21" s="2"/>
      <c r="H21" s="22" t="s">
        <v>31</v>
      </c>
      <c r="I21" s="11">
        <f t="shared" si="0"/>
        <v>3</v>
      </c>
      <c r="J21" s="34">
        <v>3</v>
      </c>
      <c r="K21" s="34"/>
    </row>
    <row r="22" spans="1:11" x14ac:dyDescent="0.25">
      <c r="A22" s="26">
        <f t="shared" si="1"/>
        <v>14</v>
      </c>
      <c r="B22" t="s">
        <v>79</v>
      </c>
      <c r="C22" t="s">
        <v>119</v>
      </c>
      <c r="D22" s="22" t="s">
        <v>52</v>
      </c>
      <c r="E22" s="2">
        <v>46146</v>
      </c>
      <c r="F22" s="2"/>
      <c r="H22" s="22" t="s">
        <v>31</v>
      </c>
      <c r="I22" s="11">
        <f t="shared" si="0"/>
        <v>1.5</v>
      </c>
      <c r="J22" s="34">
        <v>1.5</v>
      </c>
      <c r="K22" s="34"/>
    </row>
    <row r="23" spans="1:11" x14ac:dyDescent="0.25">
      <c r="A23" s="26">
        <f t="shared" si="1"/>
        <v>15</v>
      </c>
      <c r="B23" t="s">
        <v>79</v>
      </c>
      <c r="C23" t="s">
        <v>120</v>
      </c>
      <c r="D23" s="22" t="s">
        <v>52</v>
      </c>
      <c r="E23" s="2">
        <v>46146</v>
      </c>
      <c r="F23" s="2"/>
      <c r="H23" s="22" t="s">
        <v>31</v>
      </c>
      <c r="I23" s="11">
        <f t="shared" si="0"/>
        <v>1.25</v>
      </c>
      <c r="J23" s="34">
        <v>1.25</v>
      </c>
      <c r="K23" s="34"/>
    </row>
    <row r="24" spans="1:11" x14ac:dyDescent="0.25">
      <c r="A24" s="26">
        <f t="shared" si="1"/>
        <v>16</v>
      </c>
      <c r="B24" t="s">
        <v>79</v>
      </c>
      <c r="C24" t="s">
        <v>121</v>
      </c>
      <c r="D24" s="22" t="s">
        <v>52</v>
      </c>
      <c r="E24" s="2">
        <v>46146</v>
      </c>
      <c r="F24" s="2"/>
      <c r="H24" s="22" t="s">
        <v>31</v>
      </c>
      <c r="I24" s="11">
        <f t="shared" si="0"/>
        <v>1.5</v>
      </c>
      <c r="J24" s="34"/>
      <c r="K24" s="34">
        <v>1.5</v>
      </c>
    </row>
    <row r="25" spans="1:11" x14ac:dyDescent="0.25">
      <c r="A25" s="26">
        <f t="shared" si="1"/>
        <v>17</v>
      </c>
      <c r="B25" t="s">
        <v>79</v>
      </c>
      <c r="C25" t="s">
        <v>122</v>
      </c>
      <c r="D25" s="22" t="s">
        <v>52</v>
      </c>
      <c r="E25" s="2">
        <v>46146</v>
      </c>
      <c r="F25" s="2"/>
      <c r="H25" s="22" t="s">
        <v>31</v>
      </c>
      <c r="I25" s="11">
        <f t="shared" si="0"/>
        <v>2.5</v>
      </c>
      <c r="J25" s="34"/>
      <c r="K25" s="34">
        <v>2.5</v>
      </c>
    </row>
    <row r="26" spans="1:11" x14ac:dyDescent="0.25">
      <c r="A26" s="26">
        <f t="shared" si="1"/>
        <v>18</v>
      </c>
      <c r="B26" t="s">
        <v>79</v>
      </c>
      <c r="C26" t="s">
        <v>114</v>
      </c>
      <c r="D26" s="22" t="s">
        <v>52</v>
      </c>
      <c r="E26" s="2">
        <v>46146</v>
      </c>
      <c r="F26" s="2"/>
      <c r="H26" s="22" t="s">
        <v>31</v>
      </c>
      <c r="I26" s="11">
        <f t="shared" si="0"/>
        <v>2.5</v>
      </c>
      <c r="J26" s="34"/>
      <c r="K26" s="34">
        <v>2.5</v>
      </c>
    </row>
    <row r="27" spans="1:11" x14ac:dyDescent="0.25">
      <c r="A27" s="26">
        <f t="shared" si="1"/>
        <v>19</v>
      </c>
      <c r="B27" t="s">
        <v>79</v>
      </c>
      <c r="C27" t="s">
        <v>115</v>
      </c>
      <c r="D27" s="22" t="s">
        <v>52</v>
      </c>
      <c r="E27" s="2">
        <v>46146</v>
      </c>
      <c r="F27" s="2"/>
      <c r="H27" s="22" t="s">
        <v>31</v>
      </c>
      <c r="I27" s="11">
        <f t="shared" si="0"/>
        <v>5</v>
      </c>
      <c r="J27" s="34"/>
      <c r="K27" s="34">
        <v>5</v>
      </c>
    </row>
    <row r="28" spans="1:11" x14ac:dyDescent="0.25">
      <c r="A28" s="26">
        <f t="shared" si="1"/>
        <v>20</v>
      </c>
      <c r="B28" t="s">
        <v>79</v>
      </c>
      <c r="C28" t="s">
        <v>116</v>
      </c>
      <c r="D28" s="22" t="s">
        <v>52</v>
      </c>
      <c r="E28" s="2">
        <v>46146</v>
      </c>
      <c r="F28" s="2"/>
      <c r="H28" s="22" t="s">
        <v>31</v>
      </c>
      <c r="I28" s="11">
        <f t="shared" si="0"/>
        <v>4</v>
      </c>
      <c r="J28" s="34"/>
      <c r="K28" s="34">
        <v>4</v>
      </c>
    </row>
    <row r="29" spans="1:11" x14ac:dyDescent="0.25">
      <c r="A29" s="26">
        <f t="shared" si="1"/>
        <v>21</v>
      </c>
      <c r="B29" t="s">
        <v>79</v>
      </c>
      <c r="C29" t="s">
        <v>123</v>
      </c>
      <c r="D29" s="22" t="s">
        <v>52</v>
      </c>
      <c r="E29" s="2">
        <v>46146</v>
      </c>
      <c r="F29" s="2"/>
      <c r="G29" s="2"/>
      <c r="H29" s="22" t="s">
        <v>31</v>
      </c>
      <c r="I29" s="11">
        <f t="shared" si="0"/>
        <v>3.5</v>
      </c>
      <c r="J29" s="34"/>
      <c r="K29" s="34">
        <v>3.5</v>
      </c>
    </row>
    <row r="30" spans="1:11" x14ac:dyDescent="0.25">
      <c r="A30" s="26">
        <f t="shared" si="1"/>
        <v>22</v>
      </c>
      <c r="B30" t="s">
        <v>79</v>
      </c>
      <c r="C30" t="s">
        <v>124</v>
      </c>
      <c r="D30" s="22" t="s">
        <v>52</v>
      </c>
      <c r="E30" s="2">
        <v>46146</v>
      </c>
      <c r="F30" s="2"/>
      <c r="G30" s="2"/>
      <c r="H30" s="22" t="s">
        <v>31</v>
      </c>
      <c r="I30" s="11">
        <f t="shared" si="0"/>
        <v>1.5</v>
      </c>
      <c r="J30" s="34"/>
      <c r="K30" s="34">
        <v>1.5</v>
      </c>
    </row>
    <row r="31" spans="1:11" x14ac:dyDescent="0.25">
      <c r="A31" s="26">
        <f t="shared" si="1"/>
        <v>23</v>
      </c>
      <c r="B31" t="s">
        <v>79</v>
      </c>
      <c r="C31" t="s">
        <v>125</v>
      </c>
      <c r="D31" s="22" t="s">
        <v>52</v>
      </c>
      <c r="E31" s="2">
        <v>46146</v>
      </c>
      <c r="F31" s="2"/>
      <c r="G31" s="2"/>
      <c r="H31" s="22" t="s">
        <v>31</v>
      </c>
      <c r="I31" s="11">
        <f t="shared" si="0"/>
        <v>2</v>
      </c>
      <c r="J31" s="34"/>
      <c r="K31" s="34">
        <v>2</v>
      </c>
    </row>
    <row r="32" spans="1:11" x14ac:dyDescent="0.25">
      <c r="A32" s="26">
        <f t="shared" si="1"/>
        <v>24</v>
      </c>
      <c r="B32" t="s">
        <v>79</v>
      </c>
      <c r="C32" t="s">
        <v>126</v>
      </c>
      <c r="D32" s="22" t="s">
        <v>52</v>
      </c>
      <c r="E32" s="2">
        <v>46146</v>
      </c>
      <c r="F32" s="2"/>
      <c r="G32" s="2"/>
      <c r="H32" s="22" t="s">
        <v>31</v>
      </c>
      <c r="I32" s="11">
        <f t="shared" si="0"/>
        <v>2.25</v>
      </c>
      <c r="J32" s="34"/>
      <c r="K32" s="34">
        <v>2.25</v>
      </c>
    </row>
    <row r="33" spans="1:12" x14ac:dyDescent="0.25">
      <c r="A33" s="26">
        <f t="shared" si="1"/>
        <v>25</v>
      </c>
      <c r="B33" t="s">
        <v>79</v>
      </c>
      <c r="C33" t="s">
        <v>78</v>
      </c>
      <c r="D33" s="22" t="s">
        <v>52</v>
      </c>
      <c r="E33" s="2">
        <v>46146</v>
      </c>
      <c r="F33" s="2"/>
      <c r="G33" s="2"/>
      <c r="H33" s="22" t="s">
        <v>31</v>
      </c>
      <c r="I33" s="11">
        <f t="shared" si="0"/>
        <v>3</v>
      </c>
      <c r="J33" s="34"/>
      <c r="K33" s="34">
        <v>3</v>
      </c>
    </row>
    <row r="34" spans="1:12" x14ac:dyDescent="0.25">
      <c r="A34" s="26">
        <f t="shared" si="1"/>
        <v>26</v>
      </c>
      <c r="B34" t="s">
        <v>79</v>
      </c>
      <c r="C34" t="s">
        <v>127</v>
      </c>
      <c r="D34" s="22" t="s">
        <v>52</v>
      </c>
      <c r="E34" s="2">
        <v>46146</v>
      </c>
      <c r="F34" s="2"/>
      <c r="G34" s="2"/>
      <c r="H34" s="22" t="s">
        <v>31</v>
      </c>
      <c r="I34" s="11">
        <f t="shared" si="0"/>
        <v>6</v>
      </c>
      <c r="J34" s="34"/>
      <c r="K34" s="34">
        <v>6</v>
      </c>
    </row>
    <row r="35" spans="1:12" x14ac:dyDescent="0.25">
      <c r="A35" s="26">
        <f t="shared" si="1"/>
        <v>27</v>
      </c>
      <c r="B35" t="s">
        <v>79</v>
      </c>
      <c r="C35" t="s">
        <v>128</v>
      </c>
      <c r="D35" s="22" t="s">
        <v>52</v>
      </c>
      <c r="E35" s="2">
        <v>46146</v>
      </c>
      <c r="F35" s="2"/>
      <c r="G35" s="2"/>
      <c r="H35" s="22" t="s">
        <v>31</v>
      </c>
      <c r="I35" s="11">
        <f t="shared" si="0"/>
        <v>2.5</v>
      </c>
      <c r="J35" s="34"/>
      <c r="K35" s="34">
        <v>2.5</v>
      </c>
    </row>
    <row r="36" spans="1:12" x14ac:dyDescent="0.25">
      <c r="A36" s="26">
        <f t="shared" si="1"/>
        <v>28</v>
      </c>
      <c r="B36" t="s">
        <v>79</v>
      </c>
      <c r="C36" t="s">
        <v>129</v>
      </c>
      <c r="D36" s="22" t="s">
        <v>52</v>
      </c>
      <c r="E36" s="2">
        <v>46146</v>
      </c>
      <c r="F36" s="2"/>
      <c r="G36" s="2"/>
      <c r="H36" s="22" t="s">
        <v>31</v>
      </c>
      <c r="I36" s="11">
        <f t="shared" si="0"/>
        <v>1.5</v>
      </c>
      <c r="J36" s="34"/>
      <c r="K36" s="34">
        <v>1.5</v>
      </c>
    </row>
    <row r="37" spans="1:12" x14ac:dyDescent="0.25">
      <c r="A37" s="26">
        <f t="shared" si="1"/>
        <v>29</v>
      </c>
      <c r="B37" t="s">
        <v>79</v>
      </c>
      <c r="C37" t="s">
        <v>130</v>
      </c>
      <c r="D37" s="22" t="s">
        <v>52</v>
      </c>
      <c r="E37" s="2">
        <v>46146</v>
      </c>
      <c r="F37" s="2"/>
      <c r="G37" s="2"/>
      <c r="H37" s="22" t="s">
        <v>31</v>
      </c>
      <c r="I37" s="11">
        <f t="shared" si="0"/>
        <v>6</v>
      </c>
      <c r="J37" s="34"/>
      <c r="L37" s="34">
        <v>6</v>
      </c>
    </row>
    <row r="38" spans="1:12" x14ac:dyDescent="0.25">
      <c r="A38" s="26">
        <f t="shared" si="1"/>
        <v>30</v>
      </c>
      <c r="B38" t="s">
        <v>79</v>
      </c>
      <c r="C38" t="s">
        <v>131</v>
      </c>
      <c r="D38" s="22" t="s">
        <v>52</v>
      </c>
      <c r="E38" s="2">
        <v>46146</v>
      </c>
      <c r="F38" s="2"/>
      <c r="G38" s="2"/>
      <c r="H38" s="22" t="s">
        <v>31</v>
      </c>
      <c r="I38" s="11">
        <f t="shared" si="0"/>
        <v>1</v>
      </c>
      <c r="J38" s="34"/>
      <c r="L38" s="34">
        <v>1</v>
      </c>
    </row>
    <row r="39" spans="1:12" x14ac:dyDescent="0.25">
      <c r="A39" s="26">
        <f t="shared" si="1"/>
        <v>31</v>
      </c>
      <c r="B39" t="s">
        <v>79</v>
      </c>
      <c r="C39" t="s">
        <v>132</v>
      </c>
      <c r="D39" s="22" t="s">
        <v>52</v>
      </c>
      <c r="E39" s="2">
        <v>46146</v>
      </c>
      <c r="F39" s="2"/>
      <c r="G39" s="2"/>
      <c r="H39" s="22" t="s">
        <v>31</v>
      </c>
      <c r="I39" s="11">
        <f t="shared" si="0"/>
        <v>3</v>
      </c>
      <c r="J39" s="34"/>
      <c r="L39" s="34">
        <v>3</v>
      </c>
    </row>
    <row r="40" spans="1:12" x14ac:dyDescent="0.25">
      <c r="A40" s="26">
        <f t="shared" si="1"/>
        <v>32</v>
      </c>
      <c r="B40" t="s">
        <v>79</v>
      </c>
      <c r="C40" t="s">
        <v>133</v>
      </c>
      <c r="D40" s="22" t="s">
        <v>52</v>
      </c>
      <c r="E40" s="2">
        <v>46146</v>
      </c>
      <c r="F40" s="2"/>
      <c r="G40" s="2"/>
      <c r="H40" s="22" t="s">
        <v>31</v>
      </c>
      <c r="I40" s="11">
        <f t="shared" si="0"/>
        <v>5</v>
      </c>
      <c r="J40" s="34"/>
      <c r="K40" s="34"/>
      <c r="L40" s="30">
        <v>5</v>
      </c>
    </row>
    <row r="41" spans="1:12" x14ac:dyDescent="0.25">
      <c r="A41" s="26">
        <f t="shared" si="1"/>
        <v>33</v>
      </c>
      <c r="B41" t="s">
        <v>79</v>
      </c>
      <c r="C41" t="s">
        <v>134</v>
      </c>
      <c r="D41" s="22" t="s">
        <v>52</v>
      </c>
      <c r="E41" s="2">
        <v>46146</v>
      </c>
      <c r="F41" s="2"/>
      <c r="G41" s="2"/>
      <c r="H41" s="22" t="s">
        <v>31</v>
      </c>
      <c r="I41" s="11">
        <f t="shared" si="0"/>
        <v>2.5</v>
      </c>
      <c r="J41" s="34"/>
      <c r="K41" s="34"/>
      <c r="L41" s="30">
        <v>2.5</v>
      </c>
    </row>
    <row r="42" spans="1:12" x14ac:dyDescent="0.25">
      <c r="A42" s="26">
        <f t="shared" si="1"/>
        <v>34</v>
      </c>
      <c r="B42" t="s">
        <v>79</v>
      </c>
      <c r="C42" t="s">
        <v>135</v>
      </c>
      <c r="D42" s="22" t="s">
        <v>52</v>
      </c>
      <c r="E42" s="2">
        <v>46146</v>
      </c>
      <c r="F42" s="2"/>
      <c r="G42" s="2"/>
      <c r="H42" s="22" t="s">
        <v>31</v>
      </c>
      <c r="I42" s="11">
        <f t="shared" si="0"/>
        <v>2.5</v>
      </c>
      <c r="J42" s="34"/>
      <c r="L42" s="30">
        <v>2.5</v>
      </c>
    </row>
    <row r="43" spans="1:12" x14ac:dyDescent="0.25">
      <c r="A43" s="26">
        <f t="shared" si="1"/>
        <v>35</v>
      </c>
      <c r="B43" t="s">
        <v>79</v>
      </c>
      <c r="C43" t="s">
        <v>136</v>
      </c>
      <c r="D43" s="22" t="s">
        <v>52</v>
      </c>
      <c r="E43" s="2">
        <v>46146</v>
      </c>
      <c r="F43" s="2"/>
      <c r="G43" s="2"/>
      <c r="H43" s="22" t="s">
        <v>31</v>
      </c>
      <c r="I43" s="11">
        <f t="shared" si="0"/>
        <v>4</v>
      </c>
      <c r="J43" s="34"/>
      <c r="L43" s="30">
        <v>4</v>
      </c>
    </row>
    <row r="44" spans="1:12" x14ac:dyDescent="0.25">
      <c r="A44" s="26">
        <f t="shared" si="1"/>
        <v>36</v>
      </c>
      <c r="B44" t="s">
        <v>79</v>
      </c>
      <c r="C44" t="s">
        <v>80</v>
      </c>
      <c r="D44" s="22" t="s">
        <v>52</v>
      </c>
      <c r="E44" s="2">
        <v>46146</v>
      </c>
      <c r="F44" s="2"/>
      <c r="G44" s="2"/>
      <c r="H44" s="22" t="s">
        <v>31</v>
      </c>
      <c r="I44" s="11">
        <f t="shared" si="0"/>
        <v>1.75</v>
      </c>
      <c r="J44" s="34"/>
      <c r="L44" s="30">
        <v>1.75</v>
      </c>
    </row>
    <row r="45" spans="1:12" x14ac:dyDescent="0.25">
      <c r="A45" s="26">
        <f t="shared" si="1"/>
        <v>37</v>
      </c>
      <c r="B45" t="s">
        <v>79</v>
      </c>
      <c r="C45" t="s">
        <v>81</v>
      </c>
      <c r="D45" s="22" t="s">
        <v>52</v>
      </c>
      <c r="E45" s="2">
        <v>46146</v>
      </c>
      <c r="F45" s="2"/>
      <c r="G45" s="2"/>
      <c r="H45" s="22" t="s">
        <v>31</v>
      </c>
      <c r="I45" s="11">
        <f t="shared" si="0"/>
        <v>2</v>
      </c>
      <c r="J45" s="34"/>
      <c r="L45" s="30">
        <v>2</v>
      </c>
    </row>
    <row r="46" spans="1:12" x14ac:dyDescent="0.25">
      <c r="A46" s="26">
        <f t="shared" si="1"/>
        <v>38</v>
      </c>
      <c r="B46" t="s">
        <v>79</v>
      </c>
      <c r="C46" t="s">
        <v>82</v>
      </c>
      <c r="D46" s="22" t="s">
        <v>52</v>
      </c>
      <c r="E46" s="2">
        <v>46146</v>
      </c>
      <c r="F46" s="2"/>
      <c r="G46" s="2"/>
      <c r="H46" s="22" t="s">
        <v>31</v>
      </c>
      <c r="I46" s="11">
        <f t="shared" si="0"/>
        <v>2</v>
      </c>
      <c r="J46" s="34"/>
      <c r="L46" s="30">
        <v>2</v>
      </c>
    </row>
    <row r="47" spans="1:12" x14ac:dyDescent="0.25">
      <c r="A47" s="26">
        <f t="shared" si="1"/>
        <v>39</v>
      </c>
      <c r="B47" t="s">
        <v>79</v>
      </c>
      <c r="C47" t="s">
        <v>83</v>
      </c>
      <c r="D47" s="22" t="s">
        <v>52</v>
      </c>
      <c r="E47" s="2">
        <v>46146</v>
      </c>
      <c r="F47" s="2"/>
      <c r="G47" s="2"/>
      <c r="H47" s="22" t="s">
        <v>31</v>
      </c>
      <c r="I47" s="11">
        <f t="shared" si="0"/>
        <v>2.5</v>
      </c>
      <c r="J47" s="34"/>
      <c r="L47" s="30">
        <v>2.5</v>
      </c>
    </row>
    <row r="48" spans="1:12" x14ac:dyDescent="0.25">
      <c r="A48" s="26">
        <f t="shared" si="1"/>
        <v>40</v>
      </c>
      <c r="B48" t="s">
        <v>79</v>
      </c>
      <c r="C48" t="s">
        <v>97</v>
      </c>
      <c r="D48" s="22" t="s">
        <v>52</v>
      </c>
      <c r="E48" s="2">
        <v>46146</v>
      </c>
      <c r="F48" s="2"/>
      <c r="G48" s="2"/>
      <c r="H48" s="22" t="s">
        <v>31</v>
      </c>
      <c r="I48" s="11">
        <f t="shared" si="0"/>
        <v>2</v>
      </c>
      <c r="J48" s="34"/>
      <c r="L48" s="30">
        <v>2</v>
      </c>
    </row>
    <row r="49" spans="1:13" x14ac:dyDescent="0.25">
      <c r="A49" s="26">
        <f t="shared" si="1"/>
        <v>41</v>
      </c>
      <c r="B49" t="s">
        <v>79</v>
      </c>
      <c r="C49" t="s">
        <v>98</v>
      </c>
      <c r="D49" s="22" t="s">
        <v>52</v>
      </c>
      <c r="E49" s="2">
        <v>46146</v>
      </c>
      <c r="F49" s="2"/>
      <c r="G49" s="2"/>
      <c r="H49" s="22" t="s">
        <v>31</v>
      </c>
      <c r="I49" s="11">
        <f t="shared" si="0"/>
        <v>1.5</v>
      </c>
      <c r="J49" s="34"/>
      <c r="L49" s="30">
        <v>1.5</v>
      </c>
    </row>
    <row r="50" spans="1:13" x14ac:dyDescent="0.25">
      <c r="A50" s="26">
        <f t="shared" si="1"/>
        <v>42</v>
      </c>
      <c r="B50" t="s">
        <v>79</v>
      </c>
      <c r="C50" t="s">
        <v>99</v>
      </c>
      <c r="D50" s="22" t="s">
        <v>52</v>
      </c>
      <c r="E50" s="2">
        <v>46146</v>
      </c>
      <c r="F50" s="2"/>
      <c r="G50" s="2"/>
      <c r="H50" s="22" t="s">
        <v>31</v>
      </c>
      <c r="I50" s="11">
        <f t="shared" si="0"/>
        <v>2</v>
      </c>
      <c r="J50" s="34"/>
      <c r="K50" s="34"/>
      <c r="L50" s="30">
        <v>2</v>
      </c>
    </row>
    <row r="51" spans="1:13" x14ac:dyDescent="0.25">
      <c r="A51" s="26">
        <f t="shared" si="1"/>
        <v>43</v>
      </c>
      <c r="B51" t="s">
        <v>79</v>
      </c>
      <c r="C51" t="s">
        <v>100</v>
      </c>
      <c r="D51" s="22" t="s">
        <v>52</v>
      </c>
      <c r="E51" s="2">
        <v>46146</v>
      </c>
      <c r="F51" s="2"/>
      <c r="G51" s="2"/>
      <c r="H51" s="22" t="s">
        <v>31</v>
      </c>
      <c r="I51" s="11">
        <f t="shared" ref="I51:I59" si="2">+SUM(J51:M51)</f>
        <v>1</v>
      </c>
      <c r="J51" s="34"/>
      <c r="K51" s="34"/>
      <c r="M51" s="30">
        <v>1</v>
      </c>
    </row>
    <row r="52" spans="1:13" x14ac:dyDescent="0.25">
      <c r="A52" s="26">
        <f t="shared" si="1"/>
        <v>44</v>
      </c>
      <c r="B52" t="s">
        <v>79</v>
      </c>
      <c r="C52" t="s">
        <v>101</v>
      </c>
      <c r="D52" s="22" t="s">
        <v>52</v>
      </c>
      <c r="E52" s="2">
        <v>46146</v>
      </c>
      <c r="F52" s="2"/>
      <c r="G52" s="2"/>
      <c r="H52" s="22" t="s">
        <v>31</v>
      </c>
      <c r="I52" s="11">
        <f t="shared" si="2"/>
        <v>1</v>
      </c>
      <c r="J52" s="34"/>
      <c r="K52" s="34"/>
      <c r="M52" s="30">
        <v>1</v>
      </c>
    </row>
    <row r="53" spans="1:13" x14ac:dyDescent="0.25">
      <c r="A53" s="26">
        <f t="shared" si="1"/>
        <v>45</v>
      </c>
      <c r="B53" t="s">
        <v>79</v>
      </c>
      <c r="C53" t="s">
        <v>102</v>
      </c>
      <c r="D53" s="22" t="s">
        <v>52</v>
      </c>
      <c r="E53" s="2">
        <v>46146</v>
      </c>
      <c r="F53" s="2"/>
      <c r="G53" s="2"/>
      <c r="H53" s="22" t="s">
        <v>31</v>
      </c>
      <c r="I53" s="11">
        <f t="shared" si="2"/>
        <v>1</v>
      </c>
      <c r="J53" s="34"/>
      <c r="K53" s="34"/>
      <c r="M53" s="30">
        <v>1</v>
      </c>
    </row>
    <row r="54" spans="1:13" x14ac:dyDescent="0.25">
      <c r="A54" s="26">
        <f t="shared" si="1"/>
        <v>46</v>
      </c>
      <c r="B54" t="s">
        <v>79</v>
      </c>
      <c r="C54" t="s">
        <v>103</v>
      </c>
      <c r="D54" s="22" t="s">
        <v>52</v>
      </c>
      <c r="E54" s="2">
        <v>46146</v>
      </c>
      <c r="F54" s="2"/>
      <c r="G54" s="2"/>
      <c r="H54" s="22" t="s">
        <v>31</v>
      </c>
      <c r="I54" s="11">
        <f t="shared" si="2"/>
        <v>2</v>
      </c>
      <c r="J54" s="34"/>
      <c r="K54" s="34"/>
      <c r="M54" s="30">
        <v>2</v>
      </c>
    </row>
    <row r="55" spans="1:13" x14ac:dyDescent="0.25">
      <c r="A55" s="26">
        <f t="shared" si="1"/>
        <v>47</v>
      </c>
      <c r="B55" t="s">
        <v>79</v>
      </c>
      <c r="C55" t="s">
        <v>84</v>
      </c>
      <c r="D55" s="22" t="s">
        <v>52</v>
      </c>
      <c r="E55" s="2">
        <v>46146</v>
      </c>
      <c r="F55" s="2"/>
      <c r="G55" s="2"/>
      <c r="H55" s="22" t="s">
        <v>31</v>
      </c>
      <c r="I55" s="11">
        <f t="shared" si="2"/>
        <v>1.5</v>
      </c>
      <c r="J55" s="34"/>
      <c r="K55" s="34"/>
      <c r="M55" s="30">
        <v>1.5</v>
      </c>
    </row>
    <row r="56" spans="1:13" x14ac:dyDescent="0.25">
      <c r="A56" s="26">
        <f t="shared" si="1"/>
        <v>48</v>
      </c>
      <c r="B56" t="s">
        <v>79</v>
      </c>
      <c r="C56" t="s">
        <v>85</v>
      </c>
      <c r="D56" s="22" t="s">
        <v>52</v>
      </c>
      <c r="E56" s="2">
        <v>46146</v>
      </c>
      <c r="F56" s="2"/>
      <c r="G56" s="2"/>
      <c r="H56" s="22" t="s">
        <v>31</v>
      </c>
      <c r="I56" s="11">
        <f t="shared" si="2"/>
        <v>0.5</v>
      </c>
      <c r="J56" s="34"/>
      <c r="K56" s="34"/>
      <c r="M56" s="30">
        <v>0.5</v>
      </c>
    </row>
    <row r="57" spans="1:13" x14ac:dyDescent="0.25">
      <c r="A57" s="26">
        <f t="shared" si="1"/>
        <v>49</v>
      </c>
      <c r="B57" t="s">
        <v>79</v>
      </c>
      <c r="C57" t="s">
        <v>86</v>
      </c>
      <c r="D57" s="22" t="s">
        <v>52</v>
      </c>
      <c r="E57" s="2">
        <v>46146</v>
      </c>
      <c r="F57" s="2"/>
      <c r="G57" s="2"/>
      <c r="H57" s="22" t="s">
        <v>31</v>
      </c>
      <c r="I57" s="11">
        <f t="shared" si="2"/>
        <v>1.75</v>
      </c>
      <c r="J57" s="34"/>
      <c r="K57" s="34"/>
      <c r="M57" s="30">
        <v>1.75</v>
      </c>
    </row>
    <row r="58" spans="1:13" x14ac:dyDescent="0.25">
      <c r="A58" s="26">
        <f t="shared" si="1"/>
        <v>50</v>
      </c>
      <c r="B58" t="s">
        <v>79</v>
      </c>
      <c r="C58" t="s">
        <v>87</v>
      </c>
      <c r="D58" s="22" t="s">
        <v>52</v>
      </c>
      <c r="E58" s="2">
        <v>46146</v>
      </c>
      <c r="F58" s="2"/>
      <c r="G58" s="2"/>
      <c r="H58" s="22" t="s">
        <v>31</v>
      </c>
      <c r="I58" s="11">
        <f t="shared" si="2"/>
        <v>2.5</v>
      </c>
      <c r="J58" s="34"/>
      <c r="K58" s="34"/>
      <c r="M58" s="30">
        <v>2.5</v>
      </c>
    </row>
    <row r="59" spans="1:13" x14ac:dyDescent="0.25">
      <c r="A59" s="26">
        <f t="shared" si="1"/>
        <v>51</v>
      </c>
      <c r="B59" t="s">
        <v>79</v>
      </c>
      <c r="C59" t="s">
        <v>88</v>
      </c>
      <c r="D59" s="22" t="s">
        <v>52</v>
      </c>
      <c r="E59" s="2">
        <v>46146</v>
      </c>
      <c r="F59" s="2"/>
      <c r="G59" s="2"/>
      <c r="H59" s="22" t="s">
        <v>31</v>
      </c>
      <c r="I59" s="11">
        <f t="shared" si="2"/>
        <v>2</v>
      </c>
      <c r="J59" s="34"/>
      <c r="K59" s="34"/>
      <c r="M59" s="30">
        <v>2</v>
      </c>
    </row>
    <row r="60" spans="1:13" x14ac:dyDescent="0.25">
      <c r="A60" s="26">
        <f t="shared" si="1"/>
        <v>52</v>
      </c>
      <c r="B60" t="s">
        <v>79</v>
      </c>
      <c r="C60" t="s">
        <v>89</v>
      </c>
      <c r="D60" s="22" t="s">
        <v>52</v>
      </c>
      <c r="E60" s="2">
        <v>46146</v>
      </c>
      <c r="F60" s="2"/>
      <c r="G60" s="2"/>
      <c r="H60" s="22" t="s">
        <v>31</v>
      </c>
      <c r="I60" s="11">
        <f t="shared" si="0"/>
        <v>2</v>
      </c>
      <c r="J60" s="34"/>
      <c r="K60" s="34"/>
      <c r="M60" s="30">
        <v>2</v>
      </c>
    </row>
    <row r="61" spans="1:13" x14ac:dyDescent="0.25">
      <c r="A61" s="26">
        <f t="shared" si="1"/>
        <v>53</v>
      </c>
      <c r="B61" t="s">
        <v>79</v>
      </c>
      <c r="C61" t="s">
        <v>90</v>
      </c>
      <c r="D61" s="22" t="s">
        <v>52</v>
      </c>
      <c r="E61" s="2">
        <v>46146</v>
      </c>
      <c r="F61" s="2"/>
      <c r="G61" s="2"/>
      <c r="H61" s="22" t="s">
        <v>31</v>
      </c>
      <c r="I61" s="11">
        <f t="shared" si="0"/>
        <v>1</v>
      </c>
      <c r="J61" s="34"/>
      <c r="K61" s="34"/>
      <c r="M61" s="30">
        <v>1</v>
      </c>
    </row>
    <row r="62" spans="1:13" x14ac:dyDescent="0.25">
      <c r="A62" s="26">
        <f t="shared" si="1"/>
        <v>54</v>
      </c>
      <c r="B62" t="s">
        <v>79</v>
      </c>
      <c r="C62" t="s">
        <v>91</v>
      </c>
      <c r="D62" s="22" t="s">
        <v>52</v>
      </c>
      <c r="E62" s="2">
        <v>46146</v>
      </c>
      <c r="F62" s="2"/>
      <c r="G62" s="2"/>
      <c r="H62" s="22" t="s">
        <v>31</v>
      </c>
      <c r="I62" s="11">
        <f t="shared" si="0"/>
        <v>2</v>
      </c>
      <c r="J62" s="34"/>
      <c r="K62" s="34"/>
      <c r="M62" s="30">
        <v>2</v>
      </c>
    </row>
    <row r="63" spans="1:13" x14ac:dyDescent="0.25">
      <c r="A63" s="26">
        <f t="shared" si="1"/>
        <v>55</v>
      </c>
      <c r="B63" t="s">
        <v>79</v>
      </c>
      <c r="C63" t="s">
        <v>92</v>
      </c>
      <c r="D63" s="22" t="s">
        <v>52</v>
      </c>
      <c r="E63" s="2">
        <v>46146</v>
      </c>
      <c r="F63" s="2"/>
      <c r="G63" s="2"/>
      <c r="H63" s="22" t="s">
        <v>31</v>
      </c>
      <c r="I63" s="11">
        <f t="shared" si="0"/>
        <v>1</v>
      </c>
      <c r="J63" s="34"/>
      <c r="K63" s="34"/>
      <c r="M63" s="30">
        <v>1</v>
      </c>
    </row>
    <row r="64" spans="1:13" x14ac:dyDescent="0.25">
      <c r="A64" s="26">
        <f t="shared" si="1"/>
        <v>56</v>
      </c>
      <c r="B64" t="s">
        <v>79</v>
      </c>
      <c r="C64" t="s">
        <v>93</v>
      </c>
      <c r="D64" s="22" t="s">
        <v>52</v>
      </c>
      <c r="E64" s="2">
        <v>46146</v>
      </c>
      <c r="F64" s="2"/>
      <c r="G64" s="2"/>
      <c r="H64" s="22" t="s">
        <v>31</v>
      </c>
      <c r="I64" s="11">
        <f t="shared" si="0"/>
        <v>1.5</v>
      </c>
      <c r="J64" s="34"/>
      <c r="K64" s="34"/>
      <c r="M64" s="30">
        <v>1.5</v>
      </c>
    </row>
    <row r="65" spans="1:13" x14ac:dyDescent="0.25">
      <c r="A65" s="26">
        <f t="shared" si="1"/>
        <v>57</v>
      </c>
      <c r="B65" t="s">
        <v>79</v>
      </c>
      <c r="C65" t="s">
        <v>94</v>
      </c>
      <c r="D65" s="22" t="s">
        <v>52</v>
      </c>
      <c r="E65" s="2">
        <v>46146</v>
      </c>
      <c r="F65" s="2"/>
      <c r="G65" s="2"/>
      <c r="H65" s="22" t="s">
        <v>31</v>
      </c>
      <c r="I65" s="11">
        <f t="shared" si="0"/>
        <v>1</v>
      </c>
      <c r="J65" s="34"/>
      <c r="K65" s="34"/>
      <c r="M65" s="30">
        <v>1</v>
      </c>
    </row>
    <row r="66" spans="1:13" x14ac:dyDescent="0.25">
      <c r="A66" s="26">
        <f t="shared" si="1"/>
        <v>58</v>
      </c>
      <c r="B66" t="s">
        <v>79</v>
      </c>
      <c r="C66" t="s">
        <v>96</v>
      </c>
      <c r="D66" s="22" t="s">
        <v>42</v>
      </c>
      <c r="E66" s="2">
        <v>46146</v>
      </c>
      <c r="F66" s="2"/>
      <c r="G66" s="2"/>
      <c r="H66" s="22" t="s">
        <v>31</v>
      </c>
      <c r="I66" s="11">
        <f t="shared" si="0"/>
        <v>16</v>
      </c>
      <c r="J66" s="34"/>
      <c r="K66" s="34"/>
      <c r="M66" s="30">
        <v>16</v>
      </c>
    </row>
    <row r="67" spans="1:13" x14ac:dyDescent="0.25">
      <c r="D67" s="22"/>
      <c r="H67" s="22"/>
    </row>
    <row r="68" spans="1:13" ht="15.75" thickBot="1" x14ac:dyDescent="0.3">
      <c r="A68" s="28" t="s">
        <v>20</v>
      </c>
      <c r="B68" s="7"/>
      <c r="C68" s="7"/>
      <c r="D68" s="7"/>
      <c r="E68" s="7"/>
      <c r="F68" s="7"/>
      <c r="G68" s="7"/>
      <c r="H68" s="7"/>
      <c r="I68" s="12">
        <f>SUM(I8:I66)</f>
        <v>156</v>
      </c>
      <c r="J68" s="35">
        <f>SUM(J8:J65)</f>
        <v>36</v>
      </c>
      <c r="K68" s="35">
        <f t="shared" ref="K68:L68" si="3">SUM(K8:K65)</f>
        <v>40</v>
      </c>
      <c r="L68" s="35">
        <f t="shared" si="3"/>
        <v>40</v>
      </c>
      <c r="M68" s="35">
        <f>SUM(M8:M66)</f>
        <v>40</v>
      </c>
    </row>
    <row r="69" spans="1:13" ht="15.75" thickTop="1" x14ac:dyDescent="0.25">
      <c r="I69" s="11"/>
      <c r="J69" s="34"/>
      <c r="K69" s="34"/>
      <c r="L69" s="34"/>
      <c r="M69" s="34"/>
    </row>
    <row r="70" spans="1:13" x14ac:dyDescent="0.25">
      <c r="A70" s="25" t="s">
        <v>21</v>
      </c>
      <c r="I70" s="11"/>
      <c r="J70" s="34"/>
      <c r="K70" s="34"/>
      <c r="L70" s="34"/>
      <c r="M70" s="34"/>
    </row>
    <row r="71" spans="1:13" x14ac:dyDescent="0.25">
      <c r="B71" t="s">
        <v>22</v>
      </c>
      <c r="I71" s="11">
        <f>SUM(J71:M71)</f>
        <v>0</v>
      </c>
      <c r="J71" s="34"/>
      <c r="K71" s="34"/>
      <c r="L71" s="34"/>
      <c r="M71" s="34"/>
    </row>
    <row r="72" spans="1:13" x14ac:dyDescent="0.25">
      <c r="B72" t="s">
        <v>23</v>
      </c>
      <c r="I72" s="11">
        <f>SUM(J72:M72)</f>
        <v>0</v>
      </c>
      <c r="J72" s="34"/>
      <c r="K72" s="34"/>
      <c r="L72" s="34"/>
      <c r="M72" s="34"/>
    </row>
    <row r="73" spans="1:13" x14ac:dyDescent="0.25">
      <c r="B73" t="s">
        <v>24</v>
      </c>
      <c r="I73" s="11">
        <f>SUM(J73:M73)</f>
        <v>0</v>
      </c>
      <c r="J73" s="34"/>
      <c r="K73" s="34"/>
      <c r="L73" s="34"/>
      <c r="M73" s="34"/>
    </row>
    <row r="74" spans="1:13" x14ac:dyDescent="0.25">
      <c r="B74" t="s">
        <v>25</v>
      </c>
      <c r="C74" t="s">
        <v>25</v>
      </c>
      <c r="D74" t="s">
        <v>117</v>
      </c>
      <c r="E74" s="29">
        <v>46143</v>
      </c>
      <c r="I74" s="11">
        <f>SUM(J74:M74)</f>
        <v>4</v>
      </c>
      <c r="J74" s="34">
        <v>4</v>
      </c>
      <c r="K74" s="34"/>
      <c r="L74" s="34"/>
      <c r="M74" s="34"/>
    </row>
    <row r="75" spans="1:13" x14ac:dyDescent="0.25">
      <c r="B75" t="s">
        <v>26</v>
      </c>
      <c r="I75" s="11">
        <f>SUM(J75:M75)</f>
        <v>0</v>
      </c>
      <c r="J75" s="34"/>
      <c r="K75" s="34"/>
      <c r="L75" s="34"/>
      <c r="M75" s="34"/>
    </row>
    <row r="77" spans="1:13" ht="15.75" thickBot="1" x14ac:dyDescent="0.3">
      <c r="A77" s="28" t="s">
        <v>27</v>
      </c>
      <c r="B77" s="7"/>
      <c r="C77" s="7"/>
      <c r="D77" s="7"/>
      <c r="E77" s="7"/>
      <c r="F77" s="7"/>
      <c r="G77" s="7"/>
      <c r="H77" s="7"/>
      <c r="I77" s="12">
        <f>SUM(I71:I76)</f>
        <v>4</v>
      </c>
      <c r="J77" s="35">
        <f t="shared" ref="J77:M77" si="4">SUM(J71:J76)</f>
        <v>4</v>
      </c>
      <c r="K77" s="35">
        <f t="shared" si="4"/>
        <v>0</v>
      </c>
      <c r="L77" s="35">
        <f t="shared" si="4"/>
        <v>0</v>
      </c>
      <c r="M77" s="35">
        <f t="shared" si="4"/>
        <v>0</v>
      </c>
    </row>
    <row r="78" spans="1:13" ht="15.75" thickTop="1" x14ac:dyDescent="0.25">
      <c r="I78" s="11"/>
      <c r="J78" s="34"/>
      <c r="K78" s="34"/>
      <c r="L78" s="34"/>
      <c r="M78" s="34"/>
    </row>
    <row r="79" spans="1:13" ht="15.75" thickBot="1" x14ac:dyDescent="0.3">
      <c r="A79" s="28" t="s">
        <v>28</v>
      </c>
      <c r="B79" s="7"/>
      <c r="C79" s="7"/>
      <c r="D79" s="7"/>
      <c r="E79" s="7"/>
      <c r="F79" s="7"/>
      <c r="G79" s="7"/>
      <c r="H79" s="7"/>
      <c r="I79" s="12">
        <f>+I77+I68</f>
        <v>160</v>
      </c>
      <c r="J79" s="35">
        <f>+J77+J68</f>
        <v>40</v>
      </c>
      <c r="K79" s="35">
        <f t="shared" ref="K79:M79" si="5">+K77+K68</f>
        <v>40</v>
      </c>
      <c r="L79" s="35">
        <f t="shared" si="5"/>
        <v>40</v>
      </c>
      <c r="M79" s="35">
        <f t="shared" si="5"/>
        <v>40</v>
      </c>
    </row>
    <row r="80" spans="1:13" ht="15.75" thickTop="1" x14ac:dyDescent="0.25"/>
    <row r="82" spans="1:13" ht="15.75" thickBot="1" x14ac:dyDescent="0.3">
      <c r="A82" s="28" t="s">
        <v>29</v>
      </c>
      <c r="B82" s="7"/>
      <c r="C82" s="7"/>
      <c r="D82" s="7"/>
      <c r="E82" s="7"/>
      <c r="F82" s="7"/>
      <c r="G82" s="7"/>
      <c r="H82" s="7"/>
      <c r="I82" s="12"/>
      <c r="J82" s="35">
        <v>40</v>
      </c>
      <c r="K82" s="35">
        <v>40</v>
      </c>
      <c r="L82" s="35">
        <v>40</v>
      </c>
      <c r="M82" s="35">
        <v>40</v>
      </c>
    </row>
    <row r="83" spans="1:13" ht="16.5" thickTop="1" thickBot="1" x14ac:dyDescent="0.3">
      <c r="A83" s="28" t="s">
        <v>30</v>
      </c>
      <c r="B83" s="7"/>
      <c r="C83" s="7"/>
      <c r="D83" s="7"/>
      <c r="E83" s="7"/>
      <c r="F83" s="7"/>
      <c r="G83" s="7"/>
      <c r="H83" s="7"/>
      <c r="I83" s="12"/>
      <c r="J83" s="35">
        <f>+J82-J79</f>
        <v>0</v>
      </c>
      <c r="K83" s="35">
        <f t="shared" ref="K83:M83" si="6">+K82-K79</f>
        <v>0</v>
      </c>
      <c r="L83" s="35">
        <f t="shared" si="6"/>
        <v>0</v>
      </c>
      <c r="M83" s="35">
        <f t="shared" si="6"/>
        <v>0</v>
      </c>
    </row>
    <row r="84" spans="1:13" ht="15.75" thickTop="1" x14ac:dyDescent="0.25"/>
  </sheetData>
  <protectedRanges>
    <protectedRange sqref="A67:C67 A8:J8 L8:XFD8 E67:XFD67 G29:H31 J10:J66 G19:G28 C12:C28 A71:XFD76 K50:K66 G32:G48 K9:XFD11 A9:A66 H9:I66 N12:XFD66 L60:M66 M12:M59 L12:L36 L40:L50 K12:K28" name="Range1"/>
    <protectedRange sqref="B9:B66" name="Range1_1"/>
    <protectedRange sqref="C29:C48 D9:D67" name="Range1_2"/>
    <protectedRange sqref="G12:G18 F12:F28 F29:G66 E9:G11 E12:E66" name="Range1_3"/>
    <protectedRange sqref="C9" name="Range1_1_1"/>
    <protectedRange sqref="C10:C11 C29:C66" name="Range1_1_2"/>
  </protectedRanges>
  <autoFilter ref="A7:N28" xr:uid="{00000000-0001-0000-0000-000000000000}"/>
  <conditionalFormatting sqref="C1:C1048576">
    <cfRule type="duplicateValues" dxfId="3" priority="1"/>
    <cfRule type="duplicateValues" dxfId="2" priority="5"/>
    <cfRule type="duplicateValues" dxfId="1" priority="6"/>
    <cfRule type="duplicateValues" dxfId="0" priority="11"/>
  </conditionalFormatting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H9:H67</xm:sqref>
        </x14:dataValidation>
        <x14:dataValidation type="list" allowBlank="1" showInputMessage="1" showErrorMessage="1" xr:uid="{B3593689-9E01-4298-B008-351C49C0C35E}">
          <x14:formula1>
            <xm:f>Status!$B$3:$B$11</xm:f>
          </x14:formula1>
          <xm:sqref>D9:D67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topLeftCell="A3" workbookViewId="0"/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0" t="s">
        <v>40</v>
      </c>
      <c r="C2" s="20" t="s">
        <v>45</v>
      </c>
    </row>
    <row r="3" spans="2:3" x14ac:dyDescent="0.25">
      <c r="B3" s="17" t="s">
        <v>41</v>
      </c>
      <c r="C3" s="18" t="s">
        <v>46</v>
      </c>
    </row>
    <row r="4" spans="2:3" x14ac:dyDescent="0.25">
      <c r="B4" s="17" t="s">
        <v>47</v>
      </c>
      <c r="C4" s="18" t="s">
        <v>48</v>
      </c>
    </row>
    <row r="5" spans="2:3" x14ac:dyDescent="0.25">
      <c r="B5" s="17" t="s">
        <v>49</v>
      </c>
      <c r="C5" s="18" t="s">
        <v>50</v>
      </c>
    </row>
    <row r="6" spans="2:3" x14ac:dyDescent="0.25">
      <c r="B6" s="17" t="s">
        <v>42</v>
      </c>
      <c r="C6" s="18" t="s">
        <v>51</v>
      </c>
    </row>
    <row r="7" spans="2:3" x14ac:dyDescent="0.25">
      <c r="B7" s="17" t="s">
        <v>52</v>
      </c>
      <c r="C7" s="18" t="s">
        <v>53</v>
      </c>
    </row>
    <row r="8" spans="2:3" x14ac:dyDescent="0.25">
      <c r="B8" s="17" t="s">
        <v>43</v>
      </c>
      <c r="C8" s="18" t="s">
        <v>54</v>
      </c>
    </row>
    <row r="9" spans="2:3" x14ac:dyDescent="0.25">
      <c r="B9" s="17" t="s">
        <v>44</v>
      </c>
      <c r="C9" s="18" t="s">
        <v>55</v>
      </c>
    </row>
    <row r="10" spans="2:3" x14ac:dyDescent="0.25">
      <c r="B10" s="17" t="s">
        <v>56</v>
      </c>
      <c r="C10" s="18" t="s">
        <v>57</v>
      </c>
    </row>
    <row r="11" spans="2:3" x14ac:dyDescent="0.25">
      <c r="B11" s="17" t="s">
        <v>73</v>
      </c>
      <c r="C11" s="18" t="s">
        <v>74</v>
      </c>
    </row>
    <row r="14" spans="2:3" ht="16.5" x14ac:dyDescent="0.25">
      <c r="B14" s="20" t="s">
        <v>58</v>
      </c>
      <c r="C14" s="20" t="s">
        <v>45</v>
      </c>
    </row>
    <row r="15" spans="2:3" x14ac:dyDescent="0.25">
      <c r="B15" s="19" t="s">
        <v>31</v>
      </c>
      <c r="C15" s="18" t="s">
        <v>59</v>
      </c>
    </row>
    <row r="16" spans="2:3" x14ac:dyDescent="0.25">
      <c r="B16" s="19" t="s">
        <v>60</v>
      </c>
      <c r="C16" s="18" t="s">
        <v>61</v>
      </c>
    </row>
    <row r="17" spans="2:3" x14ac:dyDescent="0.25">
      <c r="B17" s="19" t="s">
        <v>39</v>
      </c>
      <c r="C17" s="18" t="s">
        <v>62</v>
      </c>
    </row>
    <row r="18" spans="2:3" x14ac:dyDescent="0.25">
      <c r="B18" s="19" t="s">
        <v>19</v>
      </c>
      <c r="C18" s="18" t="s">
        <v>63</v>
      </c>
    </row>
    <row r="19" spans="2:3" x14ac:dyDescent="0.25">
      <c r="B19" s="19" t="s">
        <v>32</v>
      </c>
      <c r="C19" s="18" t="s">
        <v>64</v>
      </c>
    </row>
    <row r="20" spans="2:3" x14ac:dyDescent="0.25">
      <c r="B20" s="19" t="s">
        <v>33</v>
      </c>
      <c r="C20" s="18" t="s">
        <v>65</v>
      </c>
    </row>
    <row r="21" spans="2:3" x14ac:dyDescent="0.25">
      <c r="B21" s="19" t="s">
        <v>66</v>
      </c>
      <c r="C21" s="18" t="s">
        <v>67</v>
      </c>
    </row>
    <row r="22" spans="2:3" x14ac:dyDescent="0.25">
      <c r="B22" s="19" t="s">
        <v>38</v>
      </c>
      <c r="C22" s="18" t="s">
        <v>68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/>
  </sheetViews>
  <sheetFormatPr defaultRowHeight="15" x14ac:dyDescent="0.25"/>
  <cols>
    <col min="1" max="1" width="124.28515625" bestFit="1" customWidth="1"/>
  </cols>
  <sheetData>
    <row r="1" spans="1:1" s="14" customFormat="1" ht="16.5" thickBot="1" x14ac:dyDescent="0.3">
      <c r="A1" s="16" t="s">
        <v>34</v>
      </c>
    </row>
    <row r="2" spans="1:1" s="14" customFormat="1" ht="15.75" x14ac:dyDescent="0.25">
      <c r="A2" s="15"/>
    </row>
    <row r="3" spans="1:1" s="14" customFormat="1" ht="15.75" x14ac:dyDescent="0.25">
      <c r="A3" s="13" t="s">
        <v>71</v>
      </c>
    </row>
    <row r="4" spans="1:1" s="14" customFormat="1" ht="15.75" x14ac:dyDescent="0.25">
      <c r="A4" s="15"/>
    </row>
    <row r="5" spans="1:1" s="14" customFormat="1" ht="15.75" x14ac:dyDescent="0.25">
      <c r="A5" s="15"/>
    </row>
    <row r="6" spans="1:1" s="14" customFormat="1" ht="15.75" x14ac:dyDescent="0.25">
      <c r="A6" s="15"/>
    </row>
    <row r="7" spans="1:1" ht="15.75" x14ac:dyDescent="0.25">
      <c r="A7" s="13" t="s">
        <v>35</v>
      </c>
    </row>
    <row r="8" spans="1:1" ht="15.75" x14ac:dyDescent="0.25">
      <c r="A8" s="13" t="s">
        <v>72</v>
      </c>
    </row>
    <row r="9" spans="1:1" ht="15.75" x14ac:dyDescent="0.25">
      <c r="A9" s="13" t="s">
        <v>70</v>
      </c>
    </row>
    <row r="10" spans="1:1" ht="15.75" x14ac:dyDescent="0.25">
      <c r="A10" s="13" t="s">
        <v>36</v>
      </c>
    </row>
    <row r="11" spans="1:1" ht="15.75" x14ac:dyDescent="0.25">
      <c r="A11" s="13" t="s">
        <v>37</v>
      </c>
    </row>
    <row r="12" spans="1:1" ht="15.75" x14ac:dyDescent="0.25">
      <c r="A12" s="13" t="s">
        <v>69</v>
      </c>
    </row>
    <row r="14" spans="1:1" x14ac:dyDescent="0.25">
      <c r="A14" s="23"/>
    </row>
    <row r="15" spans="1:1" x14ac:dyDescent="0.25">
      <c r="A15" s="23"/>
    </row>
    <row r="16" spans="1:1" x14ac:dyDescent="0.25">
      <c r="A16" s="23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Pragnesh Soni</cp:lastModifiedBy>
  <cp:revision/>
  <dcterms:created xsi:type="dcterms:W3CDTF">2015-06-05T18:17:20Z</dcterms:created>
  <dcterms:modified xsi:type="dcterms:W3CDTF">2026-05-04T07:17:06Z</dcterms:modified>
  <cp:category/>
  <cp:contentStatus/>
</cp:coreProperties>
</file>