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Accounts WIP\Team Firoz Shaikh\"/>
    </mc:Choice>
  </mc:AlternateContent>
  <xr:revisionPtr revIDLastSave="0" documentId="13_ncr:1_{07857D28-7DCB-4A8C-A04B-88D41A96937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IP" sheetId="1" r:id="rId1"/>
    <sheet name="Status" sheetId="2" r:id="rId2"/>
    <sheet name="Instruction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" i="1" l="1"/>
  <c r="I24" i="1"/>
  <c r="I23" i="1"/>
  <c r="I21" i="1"/>
  <c r="I20" i="1"/>
  <c r="I19" i="1"/>
  <c r="I18" i="1"/>
  <c r="I17" i="1"/>
  <c r="I16" i="1"/>
  <c r="I15" i="1"/>
  <c r="I14" i="1"/>
  <c r="I13" i="1"/>
  <c r="I12" i="1"/>
  <c r="I11" i="1"/>
  <c r="I10" i="1"/>
  <c r="I22" i="1"/>
  <c r="I25" i="1"/>
  <c r="I34" i="1"/>
  <c r="I32" i="1"/>
  <c r="A11" i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I41" i="1"/>
  <c r="I33" i="1"/>
  <c r="I31" i="1"/>
  <c r="I30" i="1"/>
  <c r="I27" i="1" l="1"/>
  <c r="I36" i="1"/>
  <c r="L27" i="1"/>
  <c r="K27" i="1"/>
  <c r="J27" i="1"/>
  <c r="L36" i="1"/>
  <c r="K36" i="1"/>
  <c r="J36" i="1"/>
  <c r="K6" i="1"/>
  <c r="K38" i="1" l="1"/>
  <c r="L38" i="1"/>
  <c r="J38" i="1"/>
  <c r="J42" i="1" s="1"/>
  <c r="I38" i="1"/>
  <c r="I42" i="1" s="1"/>
</calcChain>
</file>

<file path=xl/sharedStrings.xml><?xml version="1.0" encoding="utf-8"?>
<sst xmlns="http://schemas.openxmlformats.org/spreadsheetml/2006/main" count="159" uniqueCount="103">
  <si>
    <t>Work in Progress Report</t>
  </si>
  <si>
    <t xml:space="preserve">Name: </t>
  </si>
  <si>
    <t>Title:</t>
  </si>
  <si>
    <t>Manager Name:</t>
  </si>
  <si>
    <t>Week starting on --&gt;&gt;</t>
  </si>
  <si>
    <t>Future</t>
  </si>
  <si>
    <t>Sr #</t>
  </si>
  <si>
    <t>Client Name</t>
  </si>
  <si>
    <t>Project (sub-client)</t>
  </si>
  <si>
    <t>Work Item</t>
  </si>
  <si>
    <t>Date in</t>
  </si>
  <si>
    <t>Internal due Date</t>
  </si>
  <si>
    <t>Completion date</t>
  </si>
  <si>
    <t>Status</t>
  </si>
  <si>
    <t>Hours of work</t>
  </si>
  <si>
    <t>Week 3</t>
  </si>
  <si>
    <t>Week 4</t>
  </si>
  <si>
    <t>Billable Hours</t>
  </si>
  <si>
    <t>Admin</t>
  </si>
  <si>
    <t>Bookkeeping Management</t>
  </si>
  <si>
    <t>Total of Billable hours</t>
  </si>
  <si>
    <t>Non Billable hours</t>
  </si>
  <si>
    <t>Training</t>
  </si>
  <si>
    <t>Leave</t>
  </si>
  <si>
    <t>Unassigned</t>
  </si>
  <si>
    <t>Total of non-billable</t>
  </si>
  <si>
    <t>Total Hours</t>
  </si>
  <si>
    <t>Weekly hours to be completed</t>
  </si>
  <si>
    <t>Available hours</t>
  </si>
  <si>
    <t>Purpose (Suggested Comment)</t>
  </si>
  <si>
    <t>1099 Management</t>
  </si>
  <si>
    <t>Any work performed related to 1099, including calculation, filing, and W-9 updates.</t>
  </si>
  <si>
    <t>Accounts Payable / Receivable Management</t>
  </si>
  <si>
    <t>Invoice/Bill posting, payment processing, vendor reconciliation, and revenue reconciliation.</t>
  </si>
  <si>
    <t>Clean-up / Catch‑up Project Management</t>
  </si>
  <si>
    <t>Any accounting work performed apart from regular monthly bookkeeping.</t>
  </si>
  <si>
    <t>Weekly/Monthly/Quarterly bookkeeping activities.</t>
  </si>
  <si>
    <t>Month-End / Quarter-End Close Management</t>
  </si>
  <si>
    <t>Month-end/Quarter-end book review, financial statement preparation, and reporting.</t>
  </si>
  <si>
    <t>Payroll Management</t>
  </si>
  <si>
    <t>Payroll processing, working, posting, and reconciliation.</t>
  </si>
  <si>
    <t>Sales Tax Management</t>
  </si>
  <si>
    <t>Sales tax calculation and filing.</t>
  </si>
  <si>
    <t>Year-End / 13th Month Process Management</t>
  </si>
  <si>
    <t>Year-end finalization work, financial statement printing, and tax-to-book adjustments.</t>
  </si>
  <si>
    <t>Client Meetings and Communication</t>
  </si>
  <si>
    <t>Client meetings and communicaiton related work</t>
  </si>
  <si>
    <t>Account Status</t>
  </si>
  <si>
    <t>Not Started</t>
  </si>
  <si>
    <t>Work is assigned but no action has been taken yet.</t>
  </si>
  <si>
    <t>Awaiting Documents / Information</t>
  </si>
  <si>
    <t>Pending required documents or information from the client, which is preventing progress on the task.</t>
  </si>
  <si>
    <t>Ready to Work</t>
  </si>
  <si>
    <t>All necessary documents and information have been received; the task is ready to begin.</t>
  </si>
  <si>
    <t>In Preparation</t>
  </si>
  <si>
    <t>Work is currently in progress.</t>
  </si>
  <si>
    <t>In Review</t>
  </si>
  <si>
    <t>Bookkeeping/Preparation work is completed and is under review.</t>
  </si>
  <si>
    <t>Completed</t>
  </si>
  <si>
    <t>Task is fully completed (100%).</t>
  </si>
  <si>
    <t>Re-work as per Client Comment</t>
  </si>
  <si>
    <t>Performing corrections or updates based on client feedback or additional requirements received after submission.</t>
  </si>
  <si>
    <t>On Hold</t>
  </si>
  <si>
    <t>Work is put on hold as per client instruction until approval is received to restart.</t>
  </si>
  <si>
    <t>Points to be considered while updating the tracker</t>
  </si>
  <si>
    <t>Please update below Information as per ZOHO only.</t>
  </si>
  <si>
    <t>Always use Sr. no. when inputting data (If there is no data, don't write sr. no).</t>
  </si>
  <si>
    <t>Weeks should start from column "J6" - Don't change sequence (K6,L6,M6 will update automatically).</t>
  </si>
  <si>
    <t>Work Item and Status (Yellow Highlighted) should be selected from drop down , do let us know if you need to add anything </t>
  </si>
  <si>
    <t>Don't leave any row blank in between (if require you can add a row in between)</t>
  </si>
  <si>
    <t>Don’t add or delete any column</t>
  </si>
  <si>
    <t>Please enter Client name and Project strictly as mention on ZOHO</t>
  </si>
  <si>
    <t>The life you can save</t>
  </si>
  <si>
    <t>Falcon Tower</t>
  </si>
  <si>
    <t>IPFCC</t>
  </si>
  <si>
    <t>Bay Business Group LLC</t>
  </si>
  <si>
    <t>MORS</t>
  </si>
  <si>
    <t>CIRE</t>
  </si>
  <si>
    <t>CCNA</t>
  </si>
  <si>
    <t>Keller</t>
  </si>
  <si>
    <t>Gleezy</t>
  </si>
  <si>
    <t>PR strategies</t>
  </si>
  <si>
    <t>Admin-General</t>
  </si>
  <si>
    <t>AMWA</t>
  </si>
  <si>
    <t>Water-ISAC</t>
  </si>
  <si>
    <t>Dhruti Gandhi</t>
  </si>
  <si>
    <t>Senior</t>
  </si>
  <si>
    <t>Firoz Shaikh</t>
  </si>
  <si>
    <t>SPRLINE CONSULTANCY PRIVATE LIMITED</t>
  </si>
  <si>
    <t>Prints and Signs International LLC</t>
  </si>
  <si>
    <t>Palma Financial</t>
  </si>
  <si>
    <t>Veer Corporation INC</t>
  </si>
  <si>
    <t>Clark &amp; Sons Inc.</t>
  </si>
  <si>
    <t>Matthew Blumberg CPA PLLC</t>
  </si>
  <si>
    <t>Kanak Naturals, LLC</t>
  </si>
  <si>
    <t>Kanak Export</t>
  </si>
  <si>
    <t>TSC Enterprise, LLC</t>
  </si>
  <si>
    <t>Kanak Pakway</t>
  </si>
  <si>
    <t>Westgate</t>
  </si>
  <si>
    <t>PLC</t>
  </si>
  <si>
    <t>Fort Myer</t>
  </si>
  <si>
    <t>TNOI</t>
  </si>
  <si>
    <t>Farbod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</si>
</sst>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b/>
      <sz val="11"/>
      <color theme="1"/>
      <name val="Segoe UI"/>
      <family val="2"/>
    </font>
    <font>
      <sz val="11"/>
      <color rgb="FFCD5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9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right"/>
    </xf>
    <xf numFmtId="0" fontId="0" fillId="3" borderId="0" xfId="0" applyFill="1"/>
    <xf numFmtId="0" fontId="2" fillId="0" borderId="0" xfId="0" applyFont="1"/>
    <xf numFmtId="43" fontId="1" fillId="0" borderId="0" xfId="1" applyFont="1"/>
    <xf numFmtId="0" fontId="0" fillId="4" borderId="0" xfId="0" applyFill="1"/>
    <xf numFmtId="0" fontId="1" fillId="3" borderId="0" xfId="0" applyFont="1" applyFill="1"/>
    <xf numFmtId="43" fontId="0" fillId="0" borderId="0" xfId="1" applyFont="1"/>
    <xf numFmtId="43" fontId="1" fillId="0" borderId="1" xfId="1" applyFont="1" applyBorder="1"/>
    <xf numFmtId="0" fontId="5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4" fillId="0" borderId="0" xfId="0" applyFont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1" fillId="0" borderId="3" xfId="0" applyFont="1" applyBorder="1"/>
    <xf numFmtId="0" fontId="0" fillId="0" borderId="3" xfId="0" applyBorder="1"/>
    <xf numFmtId="0" fontId="1" fillId="0" borderId="3" xfId="0" applyFont="1" applyBorder="1" applyAlignment="1">
      <alignment horizontal="left"/>
    </xf>
    <xf numFmtId="0" fontId="6" fillId="6" borderId="3" xfId="0" applyFont="1" applyFill="1" applyBorder="1" applyAlignment="1">
      <alignment horizontal="left" vertical="center" wrapText="1"/>
    </xf>
    <xf numFmtId="0" fontId="1" fillId="5" borderId="0" xfId="0" applyFont="1" applyFill="1" applyAlignment="1">
      <alignment horizontal="center" vertical="center" wrapText="1"/>
    </xf>
    <xf numFmtId="0" fontId="0" fillId="5" borderId="0" xfId="0" applyFill="1"/>
    <xf numFmtId="0" fontId="7" fillId="0" borderId="0" xfId="0" applyFont="1" applyAlignment="1">
      <alignment vertical="center" wrapText="1"/>
    </xf>
    <xf numFmtId="14" fontId="0" fillId="7" borderId="0" xfId="0" applyNumberFormat="1" applyFill="1"/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3</xdr:row>
      <xdr:rowOff>47625</xdr:rowOff>
    </xdr:from>
    <xdr:to>
      <xdr:col>0</xdr:col>
      <xdr:colOff>3343730</xdr:colOff>
      <xdr:row>6</xdr:row>
      <xdr:rowOff>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63BCEF-AC95-4953-BDB7-7656B44AC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657225"/>
          <a:ext cx="3258005" cy="552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"/>
  <sheetViews>
    <sheetView tabSelected="1" zoomScale="70" zoomScaleNormal="70" workbookViewId="0">
      <pane xSplit="2" ySplit="7" topLeftCell="C8" activePane="bottomRight" state="frozen"/>
      <selection pane="topRight" activeCell="C1" sqref="C1"/>
      <selection pane="bottomLeft" activeCell="A7" sqref="A7"/>
      <selection pane="bottomRight" activeCell="J15" sqref="J15"/>
    </sheetView>
  </sheetViews>
  <sheetFormatPr defaultRowHeight="15" x14ac:dyDescent="0.25"/>
  <cols>
    <col min="1" max="1" width="24.5703125" bestFit="1" customWidth="1"/>
    <col min="2" max="2" width="33" customWidth="1"/>
    <col min="3" max="3" width="36" customWidth="1"/>
    <col min="4" max="4" width="46.85546875" customWidth="1"/>
    <col min="5" max="5" width="8.42578125" customWidth="1"/>
    <col min="6" max="6" width="8.7109375" customWidth="1"/>
    <col min="7" max="7" width="5.28515625" customWidth="1"/>
    <col min="8" max="8" width="12.5703125" customWidth="1"/>
    <col min="9" max="9" width="13.140625" customWidth="1"/>
    <col min="10" max="10" width="17" customWidth="1"/>
    <col min="11" max="11" width="16.140625" customWidth="1"/>
    <col min="12" max="12" width="14.42578125" customWidth="1"/>
  </cols>
  <sheetData>
    <row r="1" spans="1:12" x14ac:dyDescent="0.25">
      <c r="A1" s="1" t="s">
        <v>0</v>
      </c>
      <c r="H1" s="12"/>
    </row>
    <row r="2" spans="1:12" x14ac:dyDescent="0.25">
      <c r="A2" s="1" t="s">
        <v>1</v>
      </c>
      <c r="B2" s="10" t="s">
        <v>85</v>
      </c>
      <c r="H2" s="1"/>
      <c r="I2" s="1"/>
      <c r="J2" s="11"/>
      <c r="K2" s="11"/>
    </row>
    <row r="3" spans="1:12" x14ac:dyDescent="0.25">
      <c r="A3" s="1" t="s">
        <v>2</v>
      </c>
      <c r="B3" s="10" t="s">
        <v>86</v>
      </c>
      <c r="C3" s="10"/>
      <c r="H3" s="1"/>
      <c r="I3" s="1"/>
      <c r="J3" s="11"/>
      <c r="K3" s="11"/>
    </row>
    <row r="4" spans="1:12" x14ac:dyDescent="0.25">
      <c r="A4" s="1" t="s">
        <v>3</v>
      </c>
      <c r="B4" s="10" t="s">
        <v>87</v>
      </c>
      <c r="C4" s="10"/>
      <c r="H4" s="1"/>
      <c r="I4" s="1"/>
      <c r="J4" s="11"/>
      <c r="K4" s="11"/>
    </row>
    <row r="5" spans="1:12" x14ac:dyDescent="0.25">
      <c r="A5" s="1"/>
      <c r="B5" s="10"/>
      <c r="C5" s="10"/>
    </row>
    <row r="6" spans="1:12" x14ac:dyDescent="0.25">
      <c r="I6" s="8" t="s">
        <v>4</v>
      </c>
      <c r="J6" s="27">
        <v>46146</v>
      </c>
      <c r="K6" s="27">
        <f>J6+7</f>
        <v>46153</v>
      </c>
      <c r="L6" t="s">
        <v>5</v>
      </c>
    </row>
    <row r="7" spans="1:12" ht="60" x14ac:dyDescent="0.25">
      <c r="A7" s="3" t="s">
        <v>6</v>
      </c>
      <c r="B7" s="3" t="s">
        <v>75</v>
      </c>
      <c r="C7" s="3" t="s">
        <v>8</v>
      </c>
      <c r="D7" s="24" t="s">
        <v>9</v>
      </c>
      <c r="E7" s="3" t="s">
        <v>10</v>
      </c>
      <c r="F7" s="3" t="s">
        <v>11</v>
      </c>
      <c r="G7" s="3" t="s">
        <v>12</v>
      </c>
      <c r="H7" s="24" t="s">
        <v>13</v>
      </c>
      <c r="I7" s="3" t="s">
        <v>14</v>
      </c>
      <c r="J7" s="3" t="s">
        <v>15</v>
      </c>
      <c r="K7" s="3" t="s">
        <v>16</v>
      </c>
      <c r="L7" s="4" t="s">
        <v>5</v>
      </c>
    </row>
    <row r="8" spans="1:12" x14ac:dyDescent="0.25">
      <c r="A8" s="7" t="s">
        <v>17</v>
      </c>
      <c r="B8" s="5"/>
      <c r="C8" s="5"/>
      <c r="D8" s="24"/>
      <c r="E8" s="5"/>
      <c r="F8" s="5"/>
      <c r="G8" s="5"/>
      <c r="H8" s="24"/>
      <c r="I8" s="5"/>
      <c r="J8" s="5"/>
      <c r="K8" s="5"/>
      <c r="L8" s="6"/>
    </row>
    <row r="9" spans="1:12" x14ac:dyDescent="0.25">
      <c r="D9" s="25"/>
      <c r="E9" s="2"/>
      <c r="F9" s="2"/>
      <c r="G9" s="2"/>
      <c r="H9" s="25"/>
      <c r="I9" s="14"/>
      <c r="J9" s="14"/>
      <c r="K9" s="14"/>
    </row>
    <row r="10" spans="1:12" x14ac:dyDescent="0.25">
      <c r="A10">
        <v>1</v>
      </c>
      <c r="B10" t="s">
        <v>75</v>
      </c>
      <c r="C10" s="28" t="s">
        <v>72</v>
      </c>
      <c r="D10" s="25" t="s">
        <v>19</v>
      </c>
      <c r="E10" s="2"/>
      <c r="F10" s="2"/>
      <c r="G10" s="2"/>
      <c r="H10" s="25" t="s">
        <v>48</v>
      </c>
      <c r="I10" s="14">
        <f t="shared" ref="I10:I21" si="0">SUM(J10:K10)</f>
        <v>10</v>
      </c>
      <c r="J10" s="14">
        <v>6</v>
      </c>
      <c r="K10" s="14">
        <v>4</v>
      </c>
    </row>
    <row r="11" spans="1:12" x14ac:dyDescent="0.25">
      <c r="A11">
        <f>A10+1</f>
        <v>2</v>
      </c>
      <c r="B11" t="s">
        <v>75</v>
      </c>
      <c r="C11" s="28" t="s">
        <v>73</v>
      </c>
      <c r="D11" s="25" t="s">
        <v>37</v>
      </c>
      <c r="E11" s="2"/>
      <c r="F11" s="2"/>
      <c r="G11" s="2"/>
      <c r="H11" s="25" t="s">
        <v>48</v>
      </c>
      <c r="I11" s="14">
        <f t="shared" si="0"/>
        <v>15</v>
      </c>
      <c r="J11" s="14">
        <v>12</v>
      </c>
      <c r="K11" s="14">
        <v>3</v>
      </c>
    </row>
    <row r="12" spans="1:12" x14ac:dyDescent="0.25">
      <c r="A12">
        <f t="shared" ref="A12:A26" si="1">A11+1</f>
        <v>3</v>
      </c>
      <c r="B12" t="s">
        <v>75</v>
      </c>
      <c r="C12" s="28" t="s">
        <v>102</v>
      </c>
      <c r="D12" s="25" t="s">
        <v>37</v>
      </c>
      <c r="E12" s="2"/>
      <c r="F12" s="2"/>
      <c r="G12" s="2"/>
      <c r="H12" s="25" t="s">
        <v>48</v>
      </c>
      <c r="I12" s="14">
        <f t="shared" si="0"/>
        <v>3.5</v>
      </c>
      <c r="J12" s="14">
        <v>0.5</v>
      </c>
      <c r="K12" s="14">
        <v>3</v>
      </c>
    </row>
    <row r="13" spans="1:12" x14ac:dyDescent="0.25">
      <c r="A13">
        <f t="shared" si="1"/>
        <v>4</v>
      </c>
      <c r="B13" t="s">
        <v>75</v>
      </c>
      <c r="C13" s="28" t="s">
        <v>74</v>
      </c>
      <c r="D13" s="25" t="s">
        <v>37</v>
      </c>
      <c r="E13" s="2"/>
      <c r="F13" s="2"/>
      <c r="G13" s="2"/>
      <c r="H13" s="25" t="s">
        <v>48</v>
      </c>
      <c r="I13" s="14">
        <f t="shared" si="0"/>
        <v>1.5</v>
      </c>
      <c r="J13" s="14">
        <v>0.5</v>
      </c>
      <c r="K13" s="14">
        <v>1</v>
      </c>
    </row>
    <row r="14" spans="1:12" x14ac:dyDescent="0.25">
      <c r="A14">
        <f t="shared" si="1"/>
        <v>5</v>
      </c>
      <c r="B14" t="s">
        <v>75</v>
      </c>
      <c r="C14" s="28" t="s">
        <v>76</v>
      </c>
      <c r="D14" s="25" t="s">
        <v>19</v>
      </c>
      <c r="E14" s="2"/>
      <c r="F14" s="2"/>
      <c r="G14" s="2"/>
      <c r="H14" s="25" t="s">
        <v>48</v>
      </c>
      <c r="I14" s="14">
        <f t="shared" si="0"/>
        <v>1.5</v>
      </c>
      <c r="J14" s="14">
        <v>1</v>
      </c>
      <c r="K14" s="14">
        <v>0.5</v>
      </c>
    </row>
    <row r="15" spans="1:12" x14ac:dyDescent="0.25">
      <c r="A15">
        <f t="shared" si="1"/>
        <v>6</v>
      </c>
      <c r="B15" t="s">
        <v>75</v>
      </c>
      <c r="C15" s="28" t="s">
        <v>77</v>
      </c>
      <c r="D15" s="25" t="s">
        <v>19</v>
      </c>
      <c r="E15" s="2"/>
      <c r="F15" s="2"/>
      <c r="G15" s="2"/>
      <c r="H15" s="25" t="s">
        <v>48</v>
      </c>
      <c r="I15" s="14">
        <f t="shared" si="0"/>
        <v>6</v>
      </c>
      <c r="J15" s="14"/>
      <c r="K15" s="14">
        <v>6</v>
      </c>
    </row>
    <row r="16" spans="1:12" x14ac:dyDescent="0.25">
      <c r="A16">
        <f t="shared" si="1"/>
        <v>7</v>
      </c>
      <c r="B16" t="s">
        <v>75</v>
      </c>
      <c r="C16" s="28" t="s">
        <v>78</v>
      </c>
      <c r="D16" s="25" t="s">
        <v>37</v>
      </c>
      <c r="E16" s="2"/>
      <c r="F16" s="2"/>
      <c r="G16" s="2"/>
      <c r="H16" s="25" t="s">
        <v>48</v>
      </c>
      <c r="I16" s="14">
        <f t="shared" si="0"/>
        <v>6.5</v>
      </c>
      <c r="J16" s="14">
        <v>1.5</v>
      </c>
      <c r="K16" s="14">
        <v>5</v>
      </c>
    </row>
    <row r="17" spans="1:12" x14ac:dyDescent="0.25">
      <c r="A17">
        <f t="shared" si="1"/>
        <v>8</v>
      </c>
      <c r="B17" t="s">
        <v>75</v>
      </c>
      <c r="C17" s="28" t="s">
        <v>79</v>
      </c>
      <c r="D17" s="25" t="s">
        <v>37</v>
      </c>
      <c r="E17" s="2"/>
      <c r="F17" s="2"/>
      <c r="G17" s="2"/>
      <c r="H17" s="25" t="s">
        <v>48</v>
      </c>
      <c r="I17" s="14">
        <f t="shared" si="0"/>
        <v>2</v>
      </c>
      <c r="K17" s="14">
        <v>2</v>
      </c>
    </row>
    <row r="18" spans="1:12" x14ac:dyDescent="0.25">
      <c r="A18">
        <f t="shared" si="1"/>
        <v>9</v>
      </c>
      <c r="B18" t="s">
        <v>75</v>
      </c>
      <c r="C18" s="28" t="s">
        <v>80</v>
      </c>
      <c r="D18" s="25" t="s">
        <v>19</v>
      </c>
      <c r="E18" s="2"/>
      <c r="F18" s="2"/>
      <c r="G18" s="2"/>
      <c r="H18" s="25" t="s">
        <v>48</v>
      </c>
      <c r="I18" s="14">
        <f t="shared" si="0"/>
        <v>4</v>
      </c>
      <c r="J18" s="14">
        <v>1.5</v>
      </c>
      <c r="K18">
        <v>2.5</v>
      </c>
    </row>
    <row r="19" spans="1:12" x14ac:dyDescent="0.25">
      <c r="A19">
        <f t="shared" si="1"/>
        <v>10</v>
      </c>
      <c r="B19" t="s">
        <v>75</v>
      </c>
      <c r="C19" s="28" t="s">
        <v>83</v>
      </c>
      <c r="D19" s="25" t="s">
        <v>37</v>
      </c>
      <c r="E19" s="2"/>
      <c r="F19" s="2"/>
      <c r="G19" s="2"/>
      <c r="H19" s="25" t="s">
        <v>48</v>
      </c>
      <c r="I19" s="14">
        <f t="shared" si="0"/>
        <v>5</v>
      </c>
      <c r="J19" s="14">
        <v>5</v>
      </c>
      <c r="K19" s="14"/>
    </row>
    <row r="20" spans="1:12" x14ac:dyDescent="0.25">
      <c r="A20">
        <f t="shared" si="1"/>
        <v>11</v>
      </c>
      <c r="B20" t="s">
        <v>75</v>
      </c>
      <c r="C20" s="28" t="s">
        <v>84</v>
      </c>
      <c r="D20" s="25" t="s">
        <v>37</v>
      </c>
      <c r="E20" s="2"/>
      <c r="F20" s="2"/>
      <c r="G20" s="2"/>
      <c r="H20" s="25" t="s">
        <v>48</v>
      </c>
      <c r="I20" s="14">
        <f t="shared" si="0"/>
        <v>5.5</v>
      </c>
      <c r="J20" s="14">
        <v>1.5</v>
      </c>
      <c r="K20" s="14">
        <v>4</v>
      </c>
    </row>
    <row r="21" spans="1:12" x14ac:dyDescent="0.25">
      <c r="A21">
        <f t="shared" si="1"/>
        <v>12</v>
      </c>
      <c r="B21" t="s">
        <v>75</v>
      </c>
      <c r="C21" s="28" t="s">
        <v>81</v>
      </c>
      <c r="D21" s="25" t="s">
        <v>19</v>
      </c>
      <c r="E21" s="2"/>
      <c r="F21" s="2"/>
      <c r="G21" s="2"/>
      <c r="H21" s="25" t="s">
        <v>48</v>
      </c>
      <c r="I21" s="14">
        <f t="shared" si="0"/>
        <v>0.5</v>
      </c>
      <c r="J21" s="14"/>
      <c r="K21" s="14">
        <v>0.5</v>
      </c>
    </row>
    <row r="22" spans="1:12" x14ac:dyDescent="0.25">
      <c r="A22">
        <f t="shared" si="1"/>
        <v>13</v>
      </c>
      <c r="B22" t="s">
        <v>75</v>
      </c>
      <c r="C22" s="28" t="s">
        <v>98</v>
      </c>
      <c r="D22" s="25" t="s">
        <v>19</v>
      </c>
      <c r="E22" s="2"/>
      <c r="F22" s="2"/>
      <c r="G22" s="2"/>
      <c r="H22" s="25" t="s">
        <v>48</v>
      </c>
      <c r="I22" s="14">
        <f t="shared" ref="I22:I25" si="2">SUM(J22:K22)</f>
        <v>6</v>
      </c>
      <c r="J22" s="14">
        <v>6</v>
      </c>
    </row>
    <row r="23" spans="1:12" x14ac:dyDescent="0.25">
      <c r="A23">
        <f t="shared" si="1"/>
        <v>14</v>
      </c>
      <c r="B23" t="s">
        <v>75</v>
      </c>
      <c r="C23" s="28" t="s">
        <v>99</v>
      </c>
      <c r="D23" s="25" t="s">
        <v>19</v>
      </c>
      <c r="E23" s="2"/>
      <c r="F23" s="2"/>
      <c r="G23" s="2"/>
      <c r="H23" s="25" t="s">
        <v>48</v>
      </c>
      <c r="I23" s="14">
        <f>SUM(J23:K23)</f>
        <v>0.5</v>
      </c>
      <c r="J23" s="14">
        <v>0.5</v>
      </c>
    </row>
    <row r="24" spans="1:12" x14ac:dyDescent="0.25">
      <c r="A24">
        <f t="shared" si="1"/>
        <v>15</v>
      </c>
      <c r="B24" t="s">
        <v>75</v>
      </c>
      <c r="C24" s="28" t="s">
        <v>101</v>
      </c>
      <c r="D24" s="25" t="s">
        <v>19</v>
      </c>
      <c r="E24" s="2"/>
      <c r="F24" s="2"/>
      <c r="G24" s="2"/>
      <c r="H24" s="25" t="s">
        <v>48</v>
      </c>
      <c r="I24" s="14">
        <f>SUM(J24:K24)</f>
        <v>3.5</v>
      </c>
      <c r="J24" s="14"/>
      <c r="K24" s="14">
        <v>3.5</v>
      </c>
    </row>
    <row r="25" spans="1:12" x14ac:dyDescent="0.25">
      <c r="A25">
        <f t="shared" si="1"/>
        <v>16</v>
      </c>
      <c r="B25" t="s">
        <v>75</v>
      </c>
      <c r="C25" s="28" t="s">
        <v>100</v>
      </c>
      <c r="D25" s="25" t="s">
        <v>32</v>
      </c>
      <c r="E25" s="2"/>
      <c r="F25" s="2"/>
      <c r="G25" s="2"/>
      <c r="H25" s="25" t="s">
        <v>48</v>
      </c>
      <c r="I25" s="14">
        <f t="shared" si="2"/>
        <v>1</v>
      </c>
      <c r="J25" s="14"/>
      <c r="K25" s="14">
        <v>1</v>
      </c>
    </row>
    <row r="26" spans="1:12" x14ac:dyDescent="0.25">
      <c r="A26">
        <f t="shared" si="1"/>
        <v>17</v>
      </c>
      <c r="B26" t="s">
        <v>75</v>
      </c>
      <c r="C26" s="28" t="s">
        <v>82</v>
      </c>
      <c r="D26" s="25" t="s">
        <v>19</v>
      </c>
      <c r="E26" s="2"/>
      <c r="F26" s="2"/>
      <c r="G26" s="2"/>
      <c r="H26" s="25" t="s">
        <v>48</v>
      </c>
      <c r="I26" s="14">
        <f>SUM(J26:K26)</f>
        <v>8</v>
      </c>
      <c r="J26" s="14">
        <v>4</v>
      </c>
      <c r="K26" s="14">
        <v>4</v>
      </c>
    </row>
    <row r="27" spans="1:12" ht="15.75" thickBot="1" x14ac:dyDescent="0.3">
      <c r="A27" s="13" t="s">
        <v>20</v>
      </c>
      <c r="B27" s="9"/>
      <c r="C27" s="9"/>
      <c r="D27" s="9"/>
      <c r="E27" s="9"/>
      <c r="F27" s="9"/>
      <c r="G27" s="9"/>
      <c r="H27" s="9"/>
      <c r="I27" s="15">
        <f>SUM(I8:I26)</f>
        <v>80</v>
      </c>
      <c r="J27" s="15">
        <f>SUM(J8:J26)</f>
        <v>40</v>
      </c>
      <c r="K27" s="15">
        <f>SUM(K8:K26)</f>
        <v>40</v>
      </c>
      <c r="L27" s="15">
        <f>SUM(L8:L26)</f>
        <v>0</v>
      </c>
    </row>
    <row r="28" spans="1:12" ht="15.75" thickTop="1" x14ac:dyDescent="0.25">
      <c r="I28" s="14"/>
      <c r="J28" s="14"/>
      <c r="K28" s="14"/>
      <c r="L28" s="14"/>
    </row>
    <row r="29" spans="1:12" x14ac:dyDescent="0.25">
      <c r="A29" s="1" t="s">
        <v>21</v>
      </c>
      <c r="I29" s="14"/>
      <c r="J29" s="14"/>
      <c r="K29" s="14"/>
      <c r="L29" s="14"/>
    </row>
    <row r="30" spans="1:12" x14ac:dyDescent="0.25">
      <c r="B30" t="s">
        <v>18</v>
      </c>
      <c r="I30" s="14">
        <f>SUM(J30:K30)</f>
        <v>0</v>
      </c>
      <c r="J30" s="14"/>
      <c r="K30" s="14"/>
      <c r="L30" s="14"/>
    </row>
    <row r="31" spans="1:12" x14ac:dyDescent="0.25">
      <c r="B31" t="s">
        <v>88</v>
      </c>
      <c r="I31" s="14">
        <f>SUM(J31:K31)</f>
        <v>0</v>
      </c>
      <c r="J31" s="14"/>
      <c r="K31" s="14"/>
      <c r="L31" s="14"/>
    </row>
    <row r="32" spans="1:12" x14ac:dyDescent="0.25">
      <c r="B32" t="s">
        <v>22</v>
      </c>
      <c r="I32" s="14">
        <f>SUM(J32:K32)</f>
        <v>0</v>
      </c>
      <c r="J32" s="14"/>
      <c r="K32" s="14"/>
      <c r="L32" s="14"/>
    </row>
    <row r="33" spans="1:12" x14ac:dyDescent="0.25">
      <c r="B33" t="s">
        <v>23</v>
      </c>
      <c r="I33" s="14">
        <f>SUM(J33:K33)</f>
        <v>0</v>
      </c>
      <c r="J33" s="14"/>
      <c r="K33" s="14"/>
      <c r="L33" s="14"/>
    </row>
    <row r="34" spans="1:12" x14ac:dyDescent="0.25">
      <c r="B34" t="s">
        <v>24</v>
      </c>
      <c r="I34" s="14">
        <f>SUM(J34:K34)</f>
        <v>0</v>
      </c>
      <c r="J34" s="14"/>
      <c r="K34" s="14"/>
      <c r="L34" s="14"/>
    </row>
    <row r="36" spans="1:12" ht="15.75" thickBot="1" x14ac:dyDescent="0.3">
      <c r="A36" s="13" t="s">
        <v>25</v>
      </c>
      <c r="B36" s="9"/>
      <c r="C36" s="9"/>
      <c r="D36" s="9"/>
      <c r="E36" s="9"/>
      <c r="F36" s="9"/>
      <c r="G36" s="9"/>
      <c r="H36" s="9"/>
      <c r="I36" s="15">
        <f>SUM(I30:I35)</f>
        <v>0</v>
      </c>
      <c r="J36" s="15">
        <f t="shared" ref="J36:L36" si="3">SUM(J30:J35)</f>
        <v>0</v>
      </c>
      <c r="K36" s="15">
        <f t="shared" si="3"/>
        <v>0</v>
      </c>
      <c r="L36" s="15">
        <f t="shared" si="3"/>
        <v>0</v>
      </c>
    </row>
    <row r="37" spans="1:12" ht="15.75" thickTop="1" x14ac:dyDescent="0.25">
      <c r="I37" s="14"/>
      <c r="J37" s="14"/>
      <c r="K37" s="14"/>
      <c r="L37" s="14"/>
    </row>
    <row r="38" spans="1:12" ht="15.75" thickBot="1" x14ac:dyDescent="0.3">
      <c r="A38" s="13" t="s">
        <v>26</v>
      </c>
      <c r="B38" s="9"/>
      <c r="C38" s="9"/>
      <c r="D38" s="9"/>
      <c r="E38" s="9"/>
      <c r="F38" s="9"/>
      <c r="G38" s="9"/>
      <c r="H38" s="9"/>
      <c r="I38" s="15">
        <f>+I36+I27</f>
        <v>80</v>
      </c>
      <c r="J38" s="15">
        <f t="shared" ref="J38:L38" si="4">+J36+J27</f>
        <v>40</v>
      </c>
      <c r="K38" s="15">
        <f t="shared" si="4"/>
        <v>40</v>
      </c>
      <c r="L38" s="15">
        <f t="shared" si="4"/>
        <v>0</v>
      </c>
    </row>
    <row r="39" spans="1:12" ht="15.75" thickTop="1" x14ac:dyDescent="0.25"/>
    <row r="41" spans="1:12" ht="15.75" thickBot="1" x14ac:dyDescent="0.3">
      <c r="A41" s="13" t="s">
        <v>27</v>
      </c>
      <c r="B41" s="9"/>
      <c r="C41" s="9"/>
      <c r="D41" s="9"/>
      <c r="E41" s="9"/>
      <c r="F41" s="9"/>
      <c r="G41" s="9"/>
      <c r="H41" s="9"/>
      <c r="I41" s="15">
        <f>SUM(J41:K41)</f>
        <v>80</v>
      </c>
      <c r="J41" s="15">
        <v>40</v>
      </c>
      <c r="K41" s="15">
        <v>40</v>
      </c>
      <c r="L41" s="15"/>
    </row>
    <row r="42" spans="1:12" ht="16.5" thickTop="1" thickBot="1" x14ac:dyDescent="0.3">
      <c r="A42" s="13" t="s">
        <v>28</v>
      </c>
      <c r="B42" s="9"/>
      <c r="C42" s="9"/>
      <c r="D42" s="9"/>
      <c r="E42" s="9"/>
      <c r="F42" s="9"/>
      <c r="G42" s="9"/>
      <c r="H42" s="9"/>
      <c r="I42" s="15">
        <f>+I41-I38</f>
        <v>0</v>
      </c>
      <c r="J42" s="15">
        <f>+J41-J38</f>
        <v>0</v>
      </c>
      <c r="K42" s="15"/>
      <c r="L42" s="15"/>
    </row>
    <row r="43" spans="1:12" ht="15.75" thickTop="1" x14ac:dyDescent="0.25"/>
  </sheetData>
  <protectedRanges>
    <protectedRange sqref="A8:I8 C13:C14 A9:A26 G9:I10 J8:XFD26 E11:I26 A30:XFD35 B15:C26" name="Range1"/>
    <protectedRange sqref="B9:C9" name="Range1_1"/>
    <protectedRange sqref="D9:D26" name="Range1_2"/>
    <protectedRange sqref="E9:F10" name="Range1_3"/>
  </protectedRanges>
  <pageMargins left="0.25" right="0.25" top="0.75" bottom="0.75" header="0.3" footer="0.3"/>
  <pageSetup orientation="landscape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4BA8BDB-53D6-49C3-ABCC-E46D7EAA39F8}">
          <x14:formula1>
            <xm:f>Status!$B$15:$B$22</xm:f>
          </x14:formula1>
          <xm:sqref>H9:H26</xm:sqref>
        </x14:dataValidation>
        <x14:dataValidation type="list" allowBlank="1" showInputMessage="1" showErrorMessage="1" xr:uid="{477E9492-0757-4148-ABBB-6EC6E83F516C}">
          <x14:formula1>
            <xm:f>Status!$B$3:$B$10</xm:f>
          </x14:formula1>
          <xm:sqref>D9:D26</xm:sqref>
        </x14:dataValidation>
        <x14:dataValidation type="list" allowBlank="1" showInputMessage="1" showErrorMessage="1" xr:uid="{EFD70D84-F271-4342-8698-F98F0E07B4E5}">
          <x14:formula1>
            <xm:f>Status!$B$27:$B$38</xm:f>
          </x14:formula1>
          <xm:sqref>B7:B1048576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8"/>
  <sheetViews>
    <sheetView workbookViewId="0">
      <selection activeCell="B3" sqref="B3"/>
    </sheetView>
  </sheetViews>
  <sheetFormatPr defaultRowHeight="15" x14ac:dyDescent="0.25"/>
  <cols>
    <col min="2" max="2" width="42.28515625" bestFit="1" customWidth="1"/>
    <col min="3" max="3" width="105" bestFit="1" customWidth="1"/>
  </cols>
  <sheetData>
    <row r="2" spans="2:3" ht="16.5" x14ac:dyDescent="0.25">
      <c r="B2" s="23" t="s">
        <v>9</v>
      </c>
      <c r="C2" s="23" t="s">
        <v>29</v>
      </c>
    </row>
    <row r="3" spans="2:3" x14ac:dyDescent="0.25">
      <c r="B3" s="20" t="s">
        <v>30</v>
      </c>
      <c r="C3" s="21" t="s">
        <v>31</v>
      </c>
    </row>
    <row r="4" spans="2:3" x14ac:dyDescent="0.25">
      <c r="B4" s="20" t="s">
        <v>32</v>
      </c>
      <c r="C4" s="21" t="s">
        <v>33</v>
      </c>
    </row>
    <row r="5" spans="2:3" x14ac:dyDescent="0.25">
      <c r="B5" s="20" t="s">
        <v>34</v>
      </c>
      <c r="C5" s="21" t="s">
        <v>35</v>
      </c>
    </row>
    <row r="6" spans="2:3" x14ac:dyDescent="0.25">
      <c r="B6" s="20" t="s">
        <v>19</v>
      </c>
      <c r="C6" s="21" t="s">
        <v>36</v>
      </c>
    </row>
    <row r="7" spans="2:3" x14ac:dyDescent="0.25">
      <c r="B7" s="20" t="s">
        <v>37</v>
      </c>
      <c r="C7" s="21" t="s">
        <v>38</v>
      </c>
    </row>
    <row r="8" spans="2:3" x14ac:dyDescent="0.25">
      <c r="B8" s="20" t="s">
        <v>39</v>
      </c>
      <c r="C8" s="21" t="s">
        <v>40</v>
      </c>
    </row>
    <row r="9" spans="2:3" x14ac:dyDescent="0.25">
      <c r="B9" s="20" t="s">
        <v>41</v>
      </c>
      <c r="C9" s="21" t="s">
        <v>42</v>
      </c>
    </row>
    <row r="10" spans="2:3" x14ac:dyDescent="0.25">
      <c r="B10" s="20" t="s">
        <v>43</v>
      </c>
      <c r="C10" s="21" t="s">
        <v>44</v>
      </c>
    </row>
    <row r="11" spans="2:3" x14ac:dyDescent="0.25">
      <c r="B11" s="20" t="s">
        <v>45</v>
      </c>
      <c r="C11" s="21" t="s">
        <v>46</v>
      </c>
    </row>
    <row r="12" spans="2:3" x14ac:dyDescent="0.25">
      <c r="B12" s="1"/>
    </row>
    <row r="14" spans="2:3" ht="16.5" x14ac:dyDescent="0.25">
      <c r="B14" s="23" t="s">
        <v>47</v>
      </c>
      <c r="C14" s="23" t="s">
        <v>29</v>
      </c>
    </row>
    <row r="15" spans="2:3" x14ac:dyDescent="0.25">
      <c r="B15" s="22" t="s">
        <v>48</v>
      </c>
      <c r="C15" s="21" t="s">
        <v>49</v>
      </c>
    </row>
    <row r="16" spans="2:3" x14ac:dyDescent="0.25">
      <c r="B16" s="22" t="s">
        <v>50</v>
      </c>
      <c r="C16" s="21" t="s">
        <v>51</v>
      </c>
    </row>
    <row r="17" spans="2:3" x14ac:dyDescent="0.25">
      <c r="B17" s="22" t="s">
        <v>52</v>
      </c>
      <c r="C17" s="21" t="s">
        <v>53</v>
      </c>
    </row>
    <row r="18" spans="2:3" x14ac:dyDescent="0.25">
      <c r="B18" s="22" t="s">
        <v>54</v>
      </c>
      <c r="C18" s="21" t="s">
        <v>55</v>
      </c>
    </row>
    <row r="19" spans="2:3" x14ac:dyDescent="0.25">
      <c r="B19" s="22" t="s">
        <v>56</v>
      </c>
      <c r="C19" s="21" t="s">
        <v>57</v>
      </c>
    </row>
    <row r="20" spans="2:3" x14ac:dyDescent="0.25">
      <c r="B20" s="22" t="s">
        <v>58</v>
      </c>
      <c r="C20" s="21" t="s">
        <v>59</v>
      </c>
    </row>
    <row r="21" spans="2:3" x14ac:dyDescent="0.25">
      <c r="B21" s="22" t="s">
        <v>60</v>
      </c>
      <c r="C21" s="21" t="s">
        <v>61</v>
      </c>
    </row>
    <row r="22" spans="2:3" x14ac:dyDescent="0.25">
      <c r="B22" s="22" t="s">
        <v>62</v>
      </c>
      <c r="C22" s="21" t="s">
        <v>63</v>
      </c>
    </row>
    <row r="27" spans="2:3" x14ac:dyDescent="0.25">
      <c r="B27" s="20" t="s">
        <v>7</v>
      </c>
    </row>
    <row r="28" spans="2:3" x14ac:dyDescent="0.25">
      <c r="B28" s="21" t="s">
        <v>88</v>
      </c>
    </row>
    <row r="29" spans="2:3" x14ac:dyDescent="0.25">
      <c r="B29" s="21" t="s">
        <v>89</v>
      </c>
    </row>
    <row r="30" spans="2:3" x14ac:dyDescent="0.25">
      <c r="B30" s="21" t="s">
        <v>90</v>
      </c>
    </row>
    <row r="31" spans="2:3" x14ac:dyDescent="0.25">
      <c r="B31" s="21" t="s">
        <v>75</v>
      </c>
    </row>
    <row r="32" spans="2:3" x14ac:dyDescent="0.25">
      <c r="B32" s="21" t="s">
        <v>91</v>
      </c>
    </row>
    <row r="33" spans="2:2" x14ac:dyDescent="0.25">
      <c r="B33" s="21" t="s">
        <v>92</v>
      </c>
    </row>
    <row r="34" spans="2:2" x14ac:dyDescent="0.25">
      <c r="B34" s="21" t="s">
        <v>93</v>
      </c>
    </row>
    <row r="35" spans="2:2" x14ac:dyDescent="0.25">
      <c r="B35" s="21" t="s">
        <v>94</v>
      </c>
    </row>
    <row r="36" spans="2:2" x14ac:dyDescent="0.25">
      <c r="B36" s="21" t="s">
        <v>95</v>
      </c>
    </row>
    <row r="37" spans="2:2" x14ac:dyDescent="0.25">
      <c r="B37" s="21" t="s">
        <v>96</v>
      </c>
    </row>
    <row r="38" spans="2:2" x14ac:dyDescent="0.25">
      <c r="B38" s="21" t="s">
        <v>97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E2E60-F470-4239-9579-7003731F04DB}">
  <dimension ref="A1:A16"/>
  <sheetViews>
    <sheetView workbookViewId="0">
      <selection activeCell="A9" sqref="A9"/>
    </sheetView>
  </sheetViews>
  <sheetFormatPr defaultRowHeight="15" x14ac:dyDescent="0.25"/>
  <cols>
    <col min="1" max="1" width="124.28515625" bestFit="1" customWidth="1"/>
  </cols>
  <sheetData>
    <row r="1" spans="1:1" s="17" customFormat="1" ht="16.5" thickBot="1" x14ac:dyDescent="0.3">
      <c r="A1" s="19" t="s">
        <v>64</v>
      </c>
    </row>
    <row r="2" spans="1:1" s="17" customFormat="1" ht="15.75" x14ac:dyDescent="0.25">
      <c r="A2" s="18"/>
    </row>
    <row r="3" spans="1:1" s="17" customFormat="1" ht="15.75" x14ac:dyDescent="0.25">
      <c r="A3" s="16" t="s">
        <v>65</v>
      </c>
    </row>
    <row r="4" spans="1:1" s="17" customFormat="1" ht="15.75" x14ac:dyDescent="0.25">
      <c r="A4" s="18"/>
    </row>
    <row r="5" spans="1:1" s="17" customFormat="1" ht="15.75" x14ac:dyDescent="0.25">
      <c r="A5" s="18"/>
    </row>
    <row r="6" spans="1:1" s="17" customFormat="1" ht="15.75" x14ac:dyDescent="0.25">
      <c r="A6" s="18"/>
    </row>
    <row r="7" spans="1:1" ht="15.75" x14ac:dyDescent="0.25">
      <c r="A7" s="16" t="s">
        <v>66</v>
      </c>
    </row>
    <row r="8" spans="1:1" ht="15.75" x14ac:dyDescent="0.25">
      <c r="A8" s="16" t="s">
        <v>67</v>
      </c>
    </row>
    <row r="9" spans="1:1" ht="15.75" x14ac:dyDescent="0.25">
      <c r="A9" s="16" t="s">
        <v>68</v>
      </c>
    </row>
    <row r="10" spans="1:1" ht="15.75" x14ac:dyDescent="0.25">
      <c r="A10" s="16" t="s">
        <v>69</v>
      </c>
    </row>
    <row r="11" spans="1:1" ht="15.75" x14ac:dyDescent="0.25">
      <c r="A11" s="16" t="s">
        <v>70</v>
      </c>
    </row>
    <row r="12" spans="1:1" ht="15.75" x14ac:dyDescent="0.25">
      <c r="A12" s="16" t="s">
        <v>71</v>
      </c>
    </row>
    <row r="14" spans="1:1" x14ac:dyDescent="0.25">
      <c r="A14" s="26"/>
    </row>
    <row r="15" spans="1:1" x14ac:dyDescent="0.25">
      <c r="A15" s="26"/>
    </row>
    <row r="16" spans="1:1" x14ac:dyDescent="0.25">
      <c r="A16" s="26"/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938fc98f-d1dd-4f18-88d1-b56ade8ba642}" enabled="1" method="Standard" siteId="{b61676ce-c0be-4347-9af9-48129a8dcc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WIP</vt:lpstr>
      <vt:lpstr>Status</vt:lpstr>
      <vt:lpstr>Instruction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Patel</dc:creator>
  <cp:keywords/>
  <dc:description/>
  <cp:lastModifiedBy>Firoz Shaikh</cp:lastModifiedBy>
  <cp:revision/>
  <dcterms:created xsi:type="dcterms:W3CDTF">2015-06-05T18:17:20Z</dcterms:created>
  <dcterms:modified xsi:type="dcterms:W3CDTF">2026-05-04T07:05:39Z</dcterms:modified>
  <cp:category/>
  <cp:contentStatus/>
</cp:coreProperties>
</file>