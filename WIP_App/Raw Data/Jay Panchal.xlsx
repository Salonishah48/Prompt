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Accounts WIP\Team Firoz Shaikh\"/>
    </mc:Choice>
  </mc:AlternateContent>
  <xr:revisionPtr revIDLastSave="0" documentId="13_ncr:1_{77910497-E70F-4C7C-93A4-12E424B43B5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IP" sheetId="1" r:id="rId1"/>
    <sheet name="Status" sheetId="2" r:id="rId2"/>
    <sheet name="Instruction" sheetId="3" r:id="rId3"/>
  </sheets>
  <definedNames>
    <definedName name="_xlnm._FilterDatabase" localSheetId="0" hidden="1">WIP!$A$7:$N$14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L6" i="1" s="1"/>
  <c r="I28" i="1"/>
  <c r="I10" i="1"/>
  <c r="I11" i="1"/>
  <c r="I20" i="1" l="1"/>
  <c r="I9" i="1"/>
  <c r="I14" i="1" s="1"/>
  <c r="I19" i="1"/>
  <c r="I18" i="1"/>
  <c r="I17" i="1"/>
  <c r="I23" i="1" l="1"/>
  <c r="J14" i="1"/>
  <c r="J23" i="1"/>
  <c r="N14" i="1" l="1"/>
  <c r="M14" i="1"/>
  <c r="L14" i="1"/>
  <c r="K14" i="1"/>
  <c r="N23" i="1"/>
  <c r="M23" i="1"/>
  <c r="L23" i="1"/>
  <c r="K23" i="1"/>
  <c r="M6" i="1"/>
  <c r="M25" i="1" l="1"/>
  <c r="M29" i="1" s="1"/>
  <c r="J25" i="1"/>
  <c r="J29" i="1" s="1"/>
  <c r="K25" i="1"/>
  <c r="K29" i="1" s="1"/>
  <c r="N25" i="1"/>
  <c r="L25" i="1"/>
  <c r="L29" i="1" s="1"/>
  <c r="I25" i="1"/>
  <c r="I29" i="1" s="1"/>
</calcChain>
</file>

<file path=xl/sharedStrings.xml><?xml version="1.0" encoding="utf-8"?>
<sst xmlns="http://schemas.openxmlformats.org/spreadsheetml/2006/main" count="101" uniqueCount="91">
  <si>
    <t>Work in Progress Report</t>
  </si>
  <si>
    <t xml:space="preserve">Name: </t>
  </si>
  <si>
    <t>Title:</t>
  </si>
  <si>
    <t>Manager Name:</t>
  </si>
  <si>
    <t>Week starting on --&gt;&gt;</t>
  </si>
  <si>
    <t>Future</t>
  </si>
  <si>
    <t>Sr #</t>
  </si>
  <si>
    <t>Client Name</t>
  </si>
  <si>
    <t>Project (sub-client)</t>
  </si>
  <si>
    <t>Work Item</t>
  </si>
  <si>
    <t>Date in</t>
  </si>
  <si>
    <t>Internal due Date</t>
  </si>
  <si>
    <t>Completion date</t>
  </si>
  <si>
    <t>Status</t>
  </si>
  <si>
    <t>Hours of work</t>
  </si>
  <si>
    <t>Week 1</t>
  </si>
  <si>
    <t>Week 2</t>
  </si>
  <si>
    <t>Week 3</t>
  </si>
  <si>
    <t>Week 4</t>
  </si>
  <si>
    <t>Billable Hours</t>
  </si>
  <si>
    <t>Admin</t>
  </si>
  <si>
    <t>Bookkeeping Management</t>
  </si>
  <si>
    <t>Total of Billable hours</t>
  </si>
  <si>
    <t>Non Billable hours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</si>
  <si>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</si>
  <si>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</si>
  <si>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</si>
  <si>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</si>
  <si>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</si>
  <si>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</si>
  <si>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</si>
  <si>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</si>
  <si>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Purpose (Suggested Comment)</t>
  </si>
  <si>
    <t>1099 Management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</si>
  <si>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</si>
  <si>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</si>
  <si>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</si>
  <si>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</si>
  <si>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</si>
  <si>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</si>
  <si>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</si>
  <si>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</si>
  <si>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Management</t>
  </si>
  <si>
    <t>Payroll processing, working, posting, and reconciliation.</t>
  </si>
  <si>
    <t>Sales Tax Management</t>
  </si>
  <si>
    <t>Sales tax calculation and filing.</t>
  </si>
  <si>
    <t>Year-End / 13th Month Process Management</t>
  </si>
  <si>
    <t>Year-end finalization work, financial statement printing, and tax-to-book adjustments.</t>
  </si>
  <si>
    <t>Client Meetings and Communication</t>
  </si>
  <si>
    <t>Client meetings and communicaiton related work</t>
  </si>
  <si>
    <t>Account Status</t>
  </si>
  <si>
    <t>Not Started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</si>
  <si>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</si>
  <si>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</si>
  <si>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</si>
  <si>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Ready to Work</t>
  </si>
  <si>
    <t>All necessary documents and information have been received; the task is ready to begin.</t>
  </si>
  <si>
    <t>In Preparation</t>
  </si>
  <si>
    <t>Work is currently in progress.</t>
  </si>
  <si>
    <t>In Review</t>
  </si>
  <si>
    <t>Bookkeeping/Preparation work is completed and is under review.</t>
  </si>
  <si>
    <t>Completed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</si>
  <si>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</si>
  <si>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</si>
  <si>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</si>
  <si>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On Hold</t>
  </si>
  <si>
    <t>Work is put on hold as per client instruction until approval is received to restart.</t>
  </si>
  <si>
    <t>Points to be considered while updating the tracker</t>
  </si>
  <si>
    <t>Please update below Information as per ZOHO only.</t>
  </si>
  <si>
    <t>Always use Sr. no. when inputting data (If there is no data, don't write sr. no).</t>
  </si>
  <si>
    <t>Weeks should start from column "J6" - Don't change sequence (K6,L6,M6 will update automatically).</t>
  </si>
  <si>
    <t>Work Item and Status (Yellow Highlighted) should be selected from drop down , do let us know if you need to add anything </t>
  </si>
  <si>
    <t>Don't leave any row blank in between (if require you can add a row in between)</t>
  </si>
  <si>
    <t>Don’t add or delete any column</t>
  </si>
  <si>
    <t>Please enter Client name and Project strictly as mention on ZOHO</t>
  </si>
  <si>
    <t>Prints and Signs International LLC</t>
  </si>
  <si>
    <t>Jay Panchal</t>
  </si>
  <si>
    <t>Staff</t>
  </si>
  <si>
    <t>Firoz Shaikh</t>
  </si>
  <si>
    <t>Clark &amp; Sons</t>
  </si>
  <si>
    <t>Clark &amp; Sons Inc.</t>
  </si>
  <si>
    <t>Admin - General</t>
  </si>
  <si>
    <t>SPRLINE CONSULTANCY PRIVATE LIMITED</t>
  </si>
  <si>
    <t>Palma Financial</t>
  </si>
  <si>
    <t>Bay Business Group LLC</t>
  </si>
  <si>
    <t>Veer Corporation INC</t>
  </si>
  <si>
    <t>Matthew Blumberg CPA PLLC</t>
  </si>
  <si>
    <t>Kanak Naturals, LLC</t>
  </si>
  <si>
    <t>Kanak Export</t>
  </si>
  <si>
    <t>TSC Enterprise, LLC</t>
  </si>
  <si>
    <t>Kanak Pakway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</si>
</sst>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  <xf numFmtId="43" fontId="1" fillId="0" borderId="0" xfId="1" applyFont="1"/>
    <xf numFmtId="0" fontId="0" fillId="4" borderId="0" xfId="0" applyFill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7" fillId="0" borderId="0" xfId="0" applyFont="1" applyAlignment="1">
      <alignment vertical="center" wrapText="1"/>
    </xf>
    <xf numFmtId="14" fontId="0" fillId="7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3</xdr:row>
      <xdr:rowOff>47625</xdr:rowOff>
    </xdr:from>
    <xdr:to>
      <xdr:col>0</xdr:col>
      <xdr:colOff>3343730</xdr:colOff>
      <xdr:row>6</xdr:row>
      <xdr:rowOff>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65722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zoomScaleNormal="100" workbookViewId="0">
      <pane xSplit="2" ySplit="7" topLeftCell="E8" activePane="bottomRight" state="frozen"/>
      <selection pane="topRight" activeCell="C1" sqref="C1"/>
      <selection pane="bottomLeft" activeCell="A7" sqref="A7"/>
      <selection pane="bottomRight" activeCell="F11" sqref="F11"/>
    </sheetView>
  </sheetViews>
  <sheetFormatPr defaultRowHeight="15" x14ac:dyDescent="0.25"/>
  <cols>
    <col min="1" max="1" width="24.5703125" bestFit="1" customWidth="1"/>
    <col min="2" max="2" width="30.85546875" bestFit="1" customWidth="1"/>
    <col min="3" max="3" width="25.140625" customWidth="1"/>
    <col min="4" max="4" width="41" bestFit="1" customWidth="1"/>
    <col min="5" max="6" width="11.7109375" customWidth="1"/>
    <col min="7" max="7" width="13.140625" customWidth="1"/>
    <col min="8" max="8" width="17.5703125" customWidth="1"/>
    <col min="9" max="9" width="8.42578125" customWidth="1"/>
    <col min="10" max="12" width="10.7109375" bestFit="1" customWidth="1"/>
    <col min="13" max="13" width="10.7109375" customWidth="1"/>
  </cols>
  <sheetData>
    <row r="1" spans="1:14" x14ac:dyDescent="0.25">
      <c r="A1" s="1" t="s">
        <v>0</v>
      </c>
      <c r="H1" s="12"/>
    </row>
    <row r="2" spans="1:14" x14ac:dyDescent="0.25">
      <c r="A2" s="1" t="s">
        <v>1</v>
      </c>
      <c r="B2" s="10" t="s">
        <v>76</v>
      </c>
      <c r="C2" s="10"/>
      <c r="H2" s="1"/>
      <c r="I2" s="1"/>
      <c r="J2" s="11"/>
      <c r="K2" s="11"/>
      <c r="L2" s="11"/>
      <c r="M2" s="11"/>
    </row>
    <row r="3" spans="1:14" x14ac:dyDescent="0.25">
      <c r="A3" s="1" t="s">
        <v>2</v>
      </c>
      <c r="B3" s="10" t="s">
        <v>77</v>
      </c>
      <c r="C3" s="10"/>
      <c r="H3" s="1"/>
      <c r="I3" s="1"/>
      <c r="J3" s="11"/>
      <c r="K3" s="11"/>
      <c r="L3" s="11"/>
      <c r="M3" s="11"/>
    </row>
    <row r="4" spans="1:14" x14ac:dyDescent="0.25">
      <c r="A4" s="1" t="s">
        <v>3</v>
      </c>
      <c r="B4" s="10" t="s">
        <v>78</v>
      </c>
      <c r="C4" s="10"/>
      <c r="H4" s="1"/>
      <c r="I4" s="1"/>
      <c r="J4" s="11"/>
      <c r="K4" s="11"/>
      <c r="L4" s="11"/>
      <c r="M4" s="11"/>
    </row>
    <row r="5" spans="1:14" x14ac:dyDescent="0.25">
      <c r="A5" s="1"/>
      <c r="B5" s="10"/>
      <c r="C5" s="10"/>
    </row>
    <row r="6" spans="1:14" x14ac:dyDescent="0.25">
      <c r="I6" s="8" t="s">
        <v>4</v>
      </c>
      <c r="J6" s="27">
        <v>46139</v>
      </c>
      <c r="K6" s="27">
        <f>J6+7</f>
        <v>46146</v>
      </c>
      <c r="L6" s="2">
        <f>K6+7</f>
        <v>46153</v>
      </c>
      <c r="M6" s="2">
        <f>L6+7</f>
        <v>46160</v>
      </c>
      <c r="N6" t="s">
        <v>5</v>
      </c>
    </row>
    <row r="7" spans="1:14" ht="30" x14ac:dyDescent="0.25">
      <c r="A7" s="3" t="s">
        <v>6</v>
      </c>
      <c r="B7" s="3" t="s">
        <v>7</v>
      </c>
      <c r="C7" s="3" t="s">
        <v>8</v>
      </c>
      <c r="D7" s="24" t="s">
        <v>9</v>
      </c>
      <c r="E7" s="3" t="s">
        <v>10</v>
      </c>
      <c r="F7" s="3" t="s">
        <v>11</v>
      </c>
      <c r="G7" s="3" t="s">
        <v>12</v>
      </c>
      <c r="H7" s="24" t="s">
        <v>13</v>
      </c>
      <c r="I7" s="3" t="s">
        <v>14</v>
      </c>
      <c r="J7" s="3" t="s">
        <v>15</v>
      </c>
      <c r="K7" s="3" t="s">
        <v>16</v>
      </c>
      <c r="L7" s="3" t="s">
        <v>17</v>
      </c>
      <c r="M7" s="3" t="s">
        <v>18</v>
      </c>
      <c r="N7" s="4" t="s">
        <v>5</v>
      </c>
    </row>
    <row r="8" spans="1:14" x14ac:dyDescent="0.25">
      <c r="A8" s="7" t="s">
        <v>19</v>
      </c>
      <c r="B8" s="5"/>
      <c r="C8" s="5"/>
      <c r="D8" s="24"/>
      <c r="E8" s="5"/>
      <c r="F8" s="5"/>
      <c r="G8" s="5"/>
      <c r="H8" s="24"/>
      <c r="I8" s="5"/>
      <c r="J8" s="5"/>
      <c r="K8" s="5"/>
      <c r="L8" s="5"/>
      <c r="M8" s="5"/>
      <c r="N8" s="6"/>
    </row>
    <row r="9" spans="1:14" x14ac:dyDescent="0.25">
      <c r="A9">
        <v>1</v>
      </c>
      <c r="B9" t="s">
        <v>80</v>
      </c>
      <c r="C9" t="s">
        <v>81</v>
      </c>
      <c r="D9" s="25" t="s">
        <v>48</v>
      </c>
      <c r="E9" s="2"/>
      <c r="F9" s="2"/>
      <c r="G9" s="2"/>
      <c r="H9" s="25" t="s">
        <v>57</v>
      </c>
      <c r="I9" s="14">
        <f t="shared" ref="I9:I11" si="0">SUM(J9:N9)</f>
        <v>5</v>
      </c>
      <c r="J9">
        <v>2.5</v>
      </c>
      <c r="K9">
        <v>2.5</v>
      </c>
      <c r="M9" s="14"/>
    </row>
    <row r="10" spans="1:14" x14ac:dyDescent="0.25">
      <c r="A10">
        <v>2</v>
      </c>
      <c r="B10" t="s">
        <v>80</v>
      </c>
      <c r="C10" t="s">
        <v>79</v>
      </c>
      <c r="D10" s="25" t="s">
        <v>21</v>
      </c>
      <c r="E10" s="2"/>
      <c r="F10" s="2"/>
      <c r="G10" s="2"/>
      <c r="H10" s="25" t="s">
        <v>57</v>
      </c>
      <c r="I10" s="14">
        <f t="shared" si="0"/>
        <v>75</v>
      </c>
      <c r="J10">
        <v>37.5</v>
      </c>
      <c r="K10">
        <v>37.5</v>
      </c>
      <c r="M10" s="14"/>
    </row>
    <row r="11" spans="1:14" x14ac:dyDescent="0.25">
      <c r="D11" s="25"/>
      <c r="E11" s="2"/>
      <c r="F11" s="2"/>
      <c r="G11" s="2"/>
      <c r="H11" s="25"/>
      <c r="I11" s="14">
        <f t="shared" si="0"/>
        <v>0</v>
      </c>
    </row>
    <row r="12" spans="1:14" x14ac:dyDescent="0.25">
      <c r="D12" s="25"/>
      <c r="E12" s="2"/>
      <c r="F12" s="2"/>
      <c r="G12" s="2"/>
      <c r="H12" s="25"/>
      <c r="I12" s="14"/>
    </row>
    <row r="13" spans="1:14" x14ac:dyDescent="0.25">
      <c r="D13" s="25"/>
      <c r="E13" s="2"/>
      <c r="F13" s="2"/>
      <c r="G13" s="2"/>
      <c r="H13" s="25"/>
      <c r="I13" s="14"/>
    </row>
    <row r="14" spans="1:14" ht="15.75" thickBot="1" x14ac:dyDescent="0.3">
      <c r="A14" s="13" t="s">
        <v>22</v>
      </c>
      <c r="B14" s="9"/>
      <c r="C14" s="9"/>
      <c r="D14" s="9"/>
      <c r="E14" s="9"/>
      <c r="F14" s="9"/>
      <c r="G14" s="9"/>
      <c r="H14" s="9"/>
      <c r="I14" s="15">
        <f>SUM(I8:I13)</f>
        <v>80</v>
      </c>
      <c r="J14" s="15">
        <f t="shared" ref="J14:N14" si="1">SUM(J8:J13)</f>
        <v>40</v>
      </c>
      <c r="K14" s="15">
        <f t="shared" si="1"/>
        <v>40</v>
      </c>
      <c r="L14" s="15">
        <f t="shared" si="1"/>
        <v>0</v>
      </c>
      <c r="M14" s="15">
        <f t="shared" si="1"/>
        <v>0</v>
      </c>
      <c r="N14" s="15">
        <f t="shared" si="1"/>
        <v>0</v>
      </c>
    </row>
    <row r="15" spans="1:14" ht="15.75" thickTop="1" x14ac:dyDescent="0.25">
      <c r="I15" s="14"/>
      <c r="J15" s="14"/>
      <c r="K15" s="14"/>
      <c r="L15" s="14"/>
      <c r="M15" s="14"/>
      <c r="N15" s="14"/>
    </row>
    <row r="16" spans="1:14" x14ac:dyDescent="0.25">
      <c r="A16" s="1" t="s">
        <v>23</v>
      </c>
      <c r="I16" s="14"/>
      <c r="J16" s="14"/>
      <c r="K16" s="14"/>
      <c r="L16" s="14"/>
      <c r="M16" s="14"/>
      <c r="N16" s="14"/>
    </row>
    <row r="17" spans="1:14" x14ac:dyDescent="0.25">
      <c r="B17" t="s">
        <v>20</v>
      </c>
      <c r="E17" s="2"/>
      <c r="F17" s="2"/>
      <c r="G17" s="2"/>
      <c r="I17" s="14">
        <f t="shared" ref="I17:I20" si="2">SUM(J17:N17)</f>
        <v>0</v>
      </c>
      <c r="J17" s="14"/>
      <c r="K17" s="14"/>
      <c r="L17" s="14"/>
      <c r="M17" s="14"/>
      <c r="N17" s="14"/>
    </row>
    <row r="18" spans="1:14" x14ac:dyDescent="0.25">
      <c r="B18" t="s">
        <v>24</v>
      </c>
      <c r="E18" s="2"/>
      <c r="F18" s="2"/>
      <c r="G18" s="2"/>
      <c r="I18" s="14">
        <f t="shared" si="2"/>
        <v>0</v>
      </c>
      <c r="J18" s="14"/>
      <c r="K18" s="14"/>
      <c r="L18" s="14"/>
      <c r="M18" s="14"/>
      <c r="N18" s="14"/>
    </row>
    <row r="19" spans="1:14" x14ac:dyDescent="0.25">
      <c r="B19" t="s">
        <v>25</v>
      </c>
      <c r="E19" s="2"/>
      <c r="F19" s="2"/>
      <c r="G19" s="2"/>
      <c r="I19" s="14">
        <f t="shared" si="2"/>
        <v>0</v>
      </c>
      <c r="J19" s="14"/>
      <c r="K19" s="14"/>
      <c r="L19" s="14"/>
      <c r="M19" s="14"/>
      <c r="N19" s="14"/>
    </row>
    <row r="20" spans="1:14" x14ac:dyDescent="0.25">
      <c r="B20" t="s">
        <v>26</v>
      </c>
      <c r="E20" s="2"/>
      <c r="F20" s="2"/>
      <c r="G20" s="2"/>
      <c r="I20" s="14">
        <f t="shared" si="2"/>
        <v>0</v>
      </c>
      <c r="J20" s="14"/>
      <c r="K20" s="14"/>
      <c r="L20" s="14"/>
      <c r="M20" s="14"/>
      <c r="N20" s="14"/>
    </row>
    <row r="21" spans="1:14" x14ac:dyDescent="0.25">
      <c r="B21" t="s">
        <v>27</v>
      </c>
      <c r="E21" s="2"/>
      <c r="F21" s="2"/>
      <c r="G21" s="2"/>
      <c r="I21" s="14"/>
      <c r="J21" s="14"/>
      <c r="K21" s="14"/>
      <c r="L21" s="14"/>
      <c r="M21" s="14"/>
      <c r="N21" s="14"/>
    </row>
    <row r="23" spans="1:14" ht="15.75" thickBot="1" x14ac:dyDescent="0.3">
      <c r="A23" s="13" t="s">
        <v>28</v>
      </c>
      <c r="B23" s="9"/>
      <c r="C23" s="9"/>
      <c r="D23" s="9"/>
      <c r="E23" s="9"/>
      <c r="F23" s="9"/>
      <c r="G23" s="9"/>
      <c r="H23" s="9"/>
      <c r="I23" s="15">
        <f>SUM(I17:I22)</f>
        <v>0</v>
      </c>
      <c r="J23" s="15">
        <f>SUM(J17:J22)</f>
        <v>0</v>
      </c>
      <c r="K23" s="15">
        <f t="shared" ref="K23:N23" si="3">SUM(K17:K22)</f>
        <v>0</v>
      </c>
      <c r="L23" s="15">
        <f t="shared" si="3"/>
        <v>0</v>
      </c>
      <c r="M23" s="15">
        <f t="shared" si="3"/>
        <v>0</v>
      </c>
      <c r="N23" s="15">
        <f t="shared" si="3"/>
        <v>0</v>
      </c>
    </row>
    <row r="24" spans="1:14" ht="15.75" thickTop="1" x14ac:dyDescent="0.25">
      <c r="I24" s="14"/>
      <c r="J24" s="14"/>
      <c r="K24" s="14"/>
      <c r="L24" s="14"/>
      <c r="M24" s="14"/>
      <c r="N24" s="14"/>
    </row>
    <row r="25" spans="1:14" ht="15.75" thickBot="1" x14ac:dyDescent="0.3">
      <c r="A25" s="13" t="s">
        <v>29</v>
      </c>
      <c r="B25" s="9"/>
      <c r="C25" s="9"/>
      <c r="D25" s="9"/>
      <c r="E25" s="9"/>
      <c r="F25" s="9"/>
      <c r="G25" s="9"/>
      <c r="H25" s="9"/>
      <c r="I25" s="15">
        <f>+I23+I14</f>
        <v>80</v>
      </c>
      <c r="J25" s="15">
        <f t="shared" ref="J25:N25" si="4">+J23+J14</f>
        <v>40</v>
      </c>
      <c r="K25" s="15">
        <f t="shared" si="4"/>
        <v>40</v>
      </c>
      <c r="L25" s="15">
        <f t="shared" si="4"/>
        <v>0</v>
      </c>
      <c r="M25" s="15">
        <f t="shared" si="4"/>
        <v>0</v>
      </c>
      <c r="N25" s="15">
        <f t="shared" si="4"/>
        <v>0</v>
      </c>
    </row>
    <row r="26" spans="1:14" ht="15.75" thickTop="1" x14ac:dyDescent="0.25"/>
    <row r="28" spans="1:14" ht="15.75" thickBot="1" x14ac:dyDescent="0.3">
      <c r="A28" s="13" t="s">
        <v>30</v>
      </c>
      <c r="B28" s="9"/>
      <c r="C28" s="9"/>
      <c r="D28" s="9"/>
      <c r="E28" s="9"/>
      <c r="F28" s="9"/>
      <c r="G28" s="9"/>
      <c r="H28" s="9"/>
      <c r="I28" s="15">
        <f>SUM(J28:N28)</f>
        <v>80</v>
      </c>
      <c r="J28" s="15">
        <v>40</v>
      </c>
      <c r="K28" s="15">
        <v>40</v>
      </c>
      <c r="L28" s="15">
        <v>0</v>
      </c>
      <c r="M28" s="15">
        <v>0</v>
      </c>
      <c r="N28" s="15"/>
    </row>
    <row r="29" spans="1:14" ht="16.5" thickTop="1" thickBot="1" x14ac:dyDescent="0.3">
      <c r="A29" s="13" t="s">
        <v>31</v>
      </c>
      <c r="B29" s="9"/>
      <c r="C29" s="9"/>
      <c r="D29" s="9"/>
      <c r="E29" s="9"/>
      <c r="F29" s="9"/>
      <c r="G29" s="9"/>
      <c r="H29" s="9"/>
      <c r="I29" s="15">
        <f>+I28-I25</f>
        <v>0</v>
      </c>
      <c r="J29" s="15">
        <f>+J28-J25</f>
        <v>0</v>
      </c>
      <c r="K29" s="15">
        <f t="shared" ref="K29:M29" si="5">+K28-K25</f>
        <v>0</v>
      </c>
      <c r="L29" s="15">
        <f t="shared" si="5"/>
        <v>0</v>
      </c>
      <c r="M29" s="15">
        <f t="shared" si="5"/>
        <v>0</v>
      </c>
      <c r="N29" s="15"/>
    </row>
    <row r="30" spans="1:14" ht="15.75" thickTop="1" x14ac:dyDescent="0.25"/>
  </sheetData>
  <protectedRanges>
    <protectedRange sqref="B12:C13 A8:XFD8 A17:B22 C17:D19 C21:D22 E17:XFD22 A9:A13 E9:XFD13" name="Range1"/>
    <protectedRange sqref="B9:C9 B11:C11 B10" name="Range1_1"/>
    <protectedRange sqref="D9:D13" name="Range1_2"/>
    <protectedRange sqref="C10" name="Range1_1_1"/>
  </protectedRanges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4BA8BDB-53D6-49C3-ABCC-E46D7EAA39F8}">
          <x14:formula1>
            <xm:f>Status!$B$15:$B$22</xm:f>
          </x14:formula1>
          <xm:sqref>H9:H13</xm:sqref>
        </x14:dataValidation>
        <x14:dataValidation type="list" allowBlank="1" showInputMessage="1" showErrorMessage="1" xr:uid="{477E9492-0757-4148-ABBB-6EC6E83F516C}">
          <x14:formula1>
            <xm:f>Status!$B$3:$B$11</xm:f>
          </x14:formula1>
          <xm:sqref>D9:D13</xm:sqref>
        </x14:dataValidation>
        <x14:dataValidation type="list" allowBlank="1" showInputMessage="1" showErrorMessage="1" xr:uid="{FBE3BF15-C33C-4A4F-A355-5A574821390E}">
          <x14:formula1>
            <xm:f>Status!$B$26:$B$37</xm:f>
          </x14:formula1>
          <xm:sqref>B7:B1048576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7"/>
  <sheetViews>
    <sheetView topLeftCell="A3" workbookViewId="0">
      <selection activeCell="B26" sqref="B26:B37"/>
    </sheetView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ht="16.5" x14ac:dyDescent="0.25">
      <c r="B2" s="23" t="s">
        <v>9</v>
      </c>
      <c r="C2" s="23" t="s">
        <v>32</v>
      </c>
    </row>
    <row r="3" spans="2:3" x14ac:dyDescent="0.25">
      <c r="B3" s="20" t="s">
        <v>33</v>
      </c>
      <c r="C3" s="21" t="s">
        <v>34</v>
      </c>
    </row>
    <row r="4" spans="2:3" x14ac:dyDescent="0.25">
      <c r="B4" s="20" t="s">
        <v>35</v>
      </c>
      <c r="C4" s="21" t="s">
        <v>36</v>
      </c>
    </row>
    <row r="5" spans="2:3" x14ac:dyDescent="0.25">
      <c r="B5" s="20" t="s">
        <v>37</v>
      </c>
      <c r="C5" s="21" t="s">
        <v>38</v>
      </c>
    </row>
    <row r="6" spans="2:3" x14ac:dyDescent="0.25">
      <c r="B6" s="20" t="s">
        <v>21</v>
      </c>
      <c r="C6" s="21" t="s">
        <v>39</v>
      </c>
    </row>
    <row r="7" spans="2:3" x14ac:dyDescent="0.25">
      <c r="B7" s="20" t="s">
        <v>40</v>
      </c>
      <c r="C7" s="21" t="s">
        <v>41</v>
      </c>
    </row>
    <row r="8" spans="2:3" x14ac:dyDescent="0.25">
      <c r="B8" s="20" t="s">
        <v>42</v>
      </c>
      <c r="C8" s="21" t="s">
        <v>43</v>
      </c>
    </row>
    <row r="9" spans="2:3" x14ac:dyDescent="0.25">
      <c r="B9" s="20" t="s">
        <v>44</v>
      </c>
      <c r="C9" s="21" t="s">
        <v>45</v>
      </c>
    </row>
    <row r="10" spans="2:3" x14ac:dyDescent="0.25">
      <c r="B10" s="20" t="s">
        <v>46</v>
      </c>
      <c r="C10" s="21" t="s">
        <v>47</v>
      </c>
    </row>
    <row r="11" spans="2:3" x14ac:dyDescent="0.25">
      <c r="B11" s="20" t="s">
        <v>48</v>
      </c>
      <c r="C11" s="21" t="s">
        <v>49</v>
      </c>
    </row>
    <row r="12" spans="2:3" x14ac:dyDescent="0.25">
      <c r="B12" s="1"/>
    </row>
    <row r="14" spans="2:3" ht="16.5" x14ac:dyDescent="0.25">
      <c r="B14" s="23" t="s">
        <v>50</v>
      </c>
      <c r="C14" s="23" t="s">
        <v>32</v>
      </c>
    </row>
    <row r="15" spans="2:3" x14ac:dyDescent="0.25">
      <c r="B15" s="22" t="s">
        <v>51</v>
      </c>
      <c r="C15" s="21" t="s">
        <v>52</v>
      </c>
    </row>
    <row r="16" spans="2:3" x14ac:dyDescent="0.25">
      <c r="B16" s="22" t="s">
        <v>53</v>
      </c>
      <c r="C16" s="21" t="s">
        <v>54</v>
      </c>
    </row>
    <row r="17" spans="2:3" x14ac:dyDescent="0.25">
      <c r="B17" s="22" t="s">
        <v>55</v>
      </c>
      <c r="C17" s="21" t="s">
        <v>56</v>
      </c>
    </row>
    <row r="18" spans="2:3" x14ac:dyDescent="0.25">
      <c r="B18" s="22" t="s">
        <v>57</v>
      </c>
      <c r="C18" s="21" t="s">
        <v>58</v>
      </c>
    </row>
    <row r="19" spans="2:3" x14ac:dyDescent="0.25">
      <c r="B19" s="22" t="s">
        <v>59</v>
      </c>
      <c r="C19" s="21" t="s">
        <v>60</v>
      </c>
    </row>
    <row r="20" spans="2:3" x14ac:dyDescent="0.25">
      <c r="B20" s="22" t="s">
        <v>61</v>
      </c>
      <c r="C20" s="21" t="s">
        <v>62</v>
      </c>
    </row>
    <row r="21" spans="2:3" x14ac:dyDescent="0.25">
      <c r="B21" s="22" t="s">
        <v>63</v>
      </c>
      <c r="C21" s="21" t="s">
        <v>64</v>
      </c>
    </row>
    <row r="22" spans="2:3" x14ac:dyDescent="0.25">
      <c r="B22" s="22" t="s">
        <v>65</v>
      </c>
      <c r="C22" s="21" t="s">
        <v>66</v>
      </c>
    </row>
    <row r="26" spans="2:3" x14ac:dyDescent="0.25">
      <c r="B26" s="20" t="s">
        <v>7</v>
      </c>
    </row>
    <row r="27" spans="2:3" x14ac:dyDescent="0.25">
      <c r="B27" s="21" t="s">
        <v>82</v>
      </c>
    </row>
    <row r="28" spans="2:3" x14ac:dyDescent="0.25">
      <c r="B28" s="21" t="s">
        <v>75</v>
      </c>
    </row>
    <row r="29" spans="2:3" x14ac:dyDescent="0.25">
      <c r="B29" s="21" t="s">
        <v>83</v>
      </c>
    </row>
    <row r="30" spans="2:3" x14ac:dyDescent="0.25">
      <c r="B30" s="21" t="s">
        <v>84</v>
      </c>
    </row>
    <row r="31" spans="2:3" x14ac:dyDescent="0.25">
      <c r="B31" s="21" t="s">
        <v>85</v>
      </c>
    </row>
    <row r="32" spans="2:3" x14ac:dyDescent="0.25">
      <c r="B32" s="21" t="s">
        <v>80</v>
      </c>
    </row>
    <row r="33" spans="2:2" x14ac:dyDescent="0.25">
      <c r="B33" s="21" t="s">
        <v>86</v>
      </c>
    </row>
    <row r="34" spans="2:2" x14ac:dyDescent="0.25">
      <c r="B34" s="21" t="s">
        <v>87</v>
      </c>
    </row>
    <row r="35" spans="2:2" x14ac:dyDescent="0.25">
      <c r="B35" s="21" t="s">
        <v>88</v>
      </c>
    </row>
    <row r="36" spans="2:2" x14ac:dyDescent="0.25">
      <c r="B36" s="21" t="s">
        <v>89</v>
      </c>
    </row>
    <row r="37" spans="2:2" x14ac:dyDescent="0.25">
      <c r="B37" s="21" t="s">
        <v>90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>
      <selection activeCell="A9" sqref="A9"/>
    </sheetView>
  </sheetViews>
  <sheetFormatPr defaultRowHeight="15" x14ac:dyDescent="0.25"/>
  <cols>
    <col min="1" max="1" width="124.28515625" bestFit="1" customWidth="1"/>
  </cols>
  <sheetData>
    <row r="1" spans="1:1" s="17" customFormat="1" ht="16.5" thickBot="1" x14ac:dyDescent="0.3">
      <c r="A1" s="19" t="s">
        <v>67</v>
      </c>
    </row>
    <row r="2" spans="1:1" s="17" customFormat="1" ht="15.75" x14ac:dyDescent="0.25">
      <c r="A2" s="18"/>
    </row>
    <row r="3" spans="1:1" s="17" customFormat="1" ht="15.75" x14ac:dyDescent="0.25">
      <c r="A3" s="16" t="s">
        <v>68</v>
      </c>
    </row>
    <row r="4" spans="1:1" s="17" customFormat="1" ht="15.75" x14ac:dyDescent="0.25">
      <c r="A4" s="18"/>
    </row>
    <row r="5" spans="1:1" s="17" customFormat="1" ht="15.75" x14ac:dyDescent="0.25">
      <c r="A5" s="18"/>
    </row>
    <row r="6" spans="1:1" s="17" customFormat="1" ht="15.75" x14ac:dyDescent="0.25">
      <c r="A6" s="18"/>
    </row>
    <row r="7" spans="1:1" ht="15.75" x14ac:dyDescent="0.25">
      <c r="A7" s="16" t="s">
        <v>69</v>
      </c>
    </row>
    <row r="8" spans="1:1" ht="15.75" x14ac:dyDescent="0.25">
      <c r="A8" s="16" t="s">
        <v>70</v>
      </c>
    </row>
    <row r="9" spans="1:1" ht="15.75" x14ac:dyDescent="0.25">
      <c r="A9" s="16" t="s">
        <v>71</v>
      </c>
    </row>
    <row r="10" spans="1:1" ht="15.75" x14ac:dyDescent="0.25">
      <c r="A10" s="16" t="s">
        <v>72</v>
      </c>
    </row>
    <row r="11" spans="1:1" ht="15.75" x14ac:dyDescent="0.25">
      <c r="A11" s="16" t="s">
        <v>73</v>
      </c>
    </row>
    <row r="12" spans="1:1" ht="15.75" x14ac:dyDescent="0.25">
      <c r="A12" s="16" t="s">
        <v>74</v>
      </c>
    </row>
    <row r="14" spans="1:1" x14ac:dyDescent="0.25">
      <c r="A14" s="26"/>
    </row>
    <row r="15" spans="1:1" x14ac:dyDescent="0.25">
      <c r="A15" s="26"/>
    </row>
    <row r="16" spans="1:1" x14ac:dyDescent="0.25">
      <c r="A16" s="2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WIP</vt:lpstr>
      <vt:lpstr>Status</vt:lpstr>
      <vt:lpstr>Instruction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Firoz Shaikh</cp:lastModifiedBy>
  <cp:revision/>
  <dcterms:created xsi:type="dcterms:W3CDTF">2015-06-05T18:17:20Z</dcterms:created>
  <dcterms:modified xsi:type="dcterms:W3CDTF">2026-04-27T07:28:21Z</dcterms:modified>
  <cp:category/>
  <cp:contentStatus/>
</cp:coreProperties>
</file>