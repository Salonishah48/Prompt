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19C93CEE-1207-46A4-9CF8-FF780DB427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definedNames>
    <definedName name="_xlnm._FilterDatabase" localSheetId="0" hidden="1">WIP!$A$7:$J$16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6" i="1"/>
  <c r="I17" i="1"/>
  <c r="I26" i="1"/>
  <c r="I27" i="1"/>
  <c r="I10" i="1"/>
  <c r="I11" i="1"/>
  <c r="I12" i="1"/>
  <c r="I13" i="1"/>
  <c r="I14" i="1"/>
  <c r="I15" i="1"/>
  <c r="I9" i="1"/>
  <c r="J30" i="1"/>
  <c r="J39" i="1"/>
  <c r="J41" i="1" l="1"/>
  <c r="J45" i="1" s="1"/>
  <c r="K30" i="1"/>
  <c r="K39" i="1"/>
  <c r="K6" i="1"/>
  <c r="A10" i="1"/>
  <c r="A11" i="1" s="1"/>
  <c r="A12" i="1" s="1"/>
  <c r="A13" i="1" s="1"/>
  <c r="A14" i="1" s="1"/>
  <c r="A15" i="1" s="1"/>
  <c r="A16" i="1" s="1"/>
  <c r="A17" i="1" s="1"/>
  <c r="A18" i="1" s="1"/>
  <c r="I36" i="1"/>
  <c r="I35" i="1"/>
  <c r="I34" i="1"/>
  <c r="I33" i="1"/>
  <c r="K41" i="1" l="1"/>
  <c r="K45" i="1" s="1"/>
  <c r="I39" i="1"/>
  <c r="I30" i="1" l="1"/>
  <c r="I41" i="1" l="1"/>
</calcChain>
</file>

<file path=xl/sharedStrings.xml><?xml version="1.0" encoding="utf-8"?>
<sst xmlns="http://schemas.openxmlformats.org/spreadsheetml/2006/main" count="179" uniqueCount="126">
  <si>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</si>
  <si>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</si>
  <si>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</si>
  <si>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</si>
  <si>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</si>
  <si>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</si>
  <si>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</si>
  <si>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</si>
  <si>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</si>
  <si>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</si>
  <si>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</si>
  <si>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</si>
  <si>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</si>
  <si>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</si>
  <si>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</si>
  <si>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</si>
  <si>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</si>
  <si>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</si>
  <si>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</si>
  <si>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</si>
  <si>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</si>
  <si>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</si>
  <si>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</si>
  <si>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</si>
  <si>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</si>
  <si>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</si>
  <si>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</si>
  <si>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</si>
  <si>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</si>
  <si>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</si>
  <si>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</si>
  <si>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</si>
  <si>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</si>
  <si>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</si>
  <si>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</si>
  <si>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</si>
  <si>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</si>
  <si>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</si>
  <si>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</si>
  <si>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</si>
  <si>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</si>
  <si>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</si>
  <si>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</si>
  <si>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</si>
  <si>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</si>
  <si>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</si>
  <si>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</si>
  <si>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</si>
  <si>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</si>
  <si>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</si>
  <si>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</si>
  <si>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</si>
  <si>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</si>
  <si>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</si>
  <si>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</si>
  <si>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</si>
  <si>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</si>
  <si>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</si>
  <si>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</si>
  <si>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</si>
  <si>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</si>
  <si>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</si>
  <si>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</si>
  <si>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</si>
  <si>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</si>
  <si>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</si>
  <si>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</si>
  <si>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</si>
  <si>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</si>
  <si>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</si>
  <si>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Jainam Appa</t>
  </si>
  <si>
    <t>Associated Insurance dba Asia Insurance</t>
  </si>
  <si>
    <t>BBZ Limo Inc- Weekly</t>
  </si>
  <si>
    <t>Driven Fleet Services</t>
  </si>
  <si>
    <t>Individual &amp; Family Connection LLC</t>
  </si>
  <si>
    <t>Laughing Mustache LLC</t>
  </si>
  <si>
    <t>Clarke - Admin</t>
  </si>
  <si>
    <t>Semi Senior</t>
  </si>
  <si>
    <t>Akshaykumar Chhatrodiya</t>
  </si>
  <si>
    <t>Clarke Public Accounting, Co.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</si>
  <si>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</si>
  <si>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</si>
  <si>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</si>
  <si>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</si>
  <si>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</si>
  <si>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</si>
  <si>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</si>
  <si>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</si>
  <si>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</si>
  <si>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</si>
  <si>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</si>
  <si>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</si>
  <si>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</si>
  <si>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</si>
  <si>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</si>
  <si>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</si>
  <si>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</si>
  <si>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</si>
  <si>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</si>
  <si>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</si>
  <si>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</si>
  <si>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</si>
  <si>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Taxcap Business Services Inc.</t>
  </si>
  <si>
    <t>The Tax Planning Pros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</si>
  <si>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</si>
  <si>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</si>
  <si>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</si>
  <si>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</si>
  <si>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</si>
  <si>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</si>
  <si>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Chicago Psychology</t>
  </si>
  <si>
    <t>Mirolus LCC</t>
  </si>
  <si>
    <t xml:space="preserve">LRS Family Consulting LLC </t>
  </si>
  <si>
    <t>Week 1</t>
  </si>
  <si>
    <t>Relational Pyschology Group</t>
  </si>
  <si>
    <t>Week 2</t>
  </si>
  <si>
    <t>Douglass PC</t>
  </si>
  <si>
    <t>Gemini Resources LLC</t>
  </si>
  <si>
    <t>Real Deal Hospitality</t>
  </si>
  <si>
    <t>Justice Informed LLC</t>
  </si>
  <si>
    <t xml:space="preserve">Michael Schmahl PC </t>
  </si>
  <si>
    <t>Modern Mind Counseling Inc</t>
  </si>
  <si>
    <t>John Knoerzer LCSW</t>
  </si>
  <si>
    <t>Hairitics Dye For Your Beliefs LLC</t>
  </si>
  <si>
    <t>Dr Kaye Lagdaan, PC</t>
  </si>
  <si>
    <t>Christian Undertaker Services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</si>
</sst>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2D050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8" fillId="0" borderId="3" xfId="0" applyFont="1" applyBorder="1"/>
    <xf numFmtId="0" fontId="9" fillId="0" borderId="3" xfId="0" applyFont="1" applyBorder="1"/>
    <xf numFmtId="0" fontId="0" fillId="0" borderId="0" xfId="0" applyAlignment="1">
      <alignment vertical="center" wrapText="1"/>
    </xf>
    <xf numFmtId="0" fontId="10" fillId="0" borderId="0" xfId="0" applyFont="1"/>
    <xf numFmtId="0" fontId="11" fillId="7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Normal="100" workbookViewId="0">
      <pane xSplit="3" ySplit="7" topLeftCell="F8" activePane="bottomRight" state="frozen"/>
      <selection pane="topRight" activeCell="D1" sqref="D1"/>
      <selection pane="bottomLeft" activeCell="A8" sqref="A8"/>
      <selection pane="bottomRight" activeCell="H11" sqref="H11"/>
    </sheetView>
  </sheetViews>
  <sheetFormatPr defaultRowHeight="15" x14ac:dyDescent="0.25"/>
  <cols>
    <col min="1" max="1" width="12.7109375" customWidth="1"/>
    <col min="2" max="2" width="30" customWidth="1"/>
    <col min="3" max="3" width="37.28515625" bestFit="1" customWidth="1"/>
    <col min="4" max="4" width="41" customWidth="1"/>
    <col min="5" max="5" width="11.7109375" customWidth="1"/>
    <col min="6" max="6" width="13.140625" customWidth="1"/>
    <col min="7" max="7" width="15.7109375" customWidth="1"/>
    <col min="8" max="8" width="32.28515625" bestFit="1" customWidth="1"/>
    <col min="9" max="9" width="8.42578125" customWidth="1"/>
    <col min="10" max="11" width="10.7109375" bestFit="1" customWidth="1"/>
  </cols>
  <sheetData>
    <row r="1" spans="1:11" x14ac:dyDescent="0.25">
      <c r="A1" s="1" t="s">
        <v>0</v>
      </c>
      <c r="H1" s="10"/>
    </row>
    <row r="2" spans="1:11" x14ac:dyDescent="0.25">
      <c r="A2" s="1" t="s">
        <v>1</v>
      </c>
      <c r="B2" s="9" t="s">
        <v>78</v>
      </c>
      <c r="C2" s="9"/>
      <c r="H2" s="1"/>
      <c r="I2" s="1"/>
    </row>
    <row r="3" spans="1:11" x14ac:dyDescent="0.25">
      <c r="A3" s="1" t="s">
        <v>2</v>
      </c>
      <c r="B3" s="9" t="s">
        <v>77</v>
      </c>
      <c r="C3" s="9"/>
      <c r="H3" s="1"/>
      <c r="I3" s="1"/>
    </row>
    <row r="4" spans="1:11" x14ac:dyDescent="0.25">
      <c r="A4" s="1" t="s">
        <v>3</v>
      </c>
      <c r="B4" s="9" t="s">
        <v>70</v>
      </c>
      <c r="C4" s="9"/>
      <c r="H4" s="1"/>
      <c r="I4" s="1"/>
    </row>
    <row r="5" spans="1:11" x14ac:dyDescent="0.25">
      <c r="A5" s="1"/>
      <c r="B5" s="9"/>
      <c r="C5" s="9"/>
    </row>
    <row r="6" spans="1:11" x14ac:dyDescent="0.25">
      <c r="I6" s="7" t="s">
        <v>4</v>
      </c>
      <c r="J6" s="2">
        <v>46146</v>
      </c>
      <c r="K6" s="2">
        <f>J6+7</f>
        <v>46153</v>
      </c>
    </row>
    <row r="7" spans="1:11" ht="29.25" customHeight="1" x14ac:dyDescent="0.25">
      <c r="A7" s="3" t="s">
        <v>5</v>
      </c>
      <c r="B7" s="3" t="s">
        <v>6</v>
      </c>
      <c r="C7" s="3" t="s">
        <v>7</v>
      </c>
      <c r="D7" s="22" t="s">
        <v>35</v>
      </c>
      <c r="E7" s="3" t="s">
        <v>8</v>
      </c>
      <c r="F7" s="3" t="s">
        <v>9</v>
      </c>
      <c r="G7" s="3" t="s">
        <v>10</v>
      </c>
      <c r="H7" s="22" t="s">
        <v>11</v>
      </c>
      <c r="I7" s="3" t="s">
        <v>12</v>
      </c>
      <c r="J7" s="3" t="s">
        <v>113</v>
      </c>
      <c r="K7" s="3" t="s">
        <v>115</v>
      </c>
    </row>
    <row r="8" spans="1:11" x14ac:dyDescent="0.25">
      <c r="A8" s="6" t="s">
        <v>13</v>
      </c>
      <c r="B8" s="4"/>
      <c r="C8" s="4"/>
      <c r="D8" s="22"/>
      <c r="E8" s="4"/>
      <c r="F8" s="4"/>
      <c r="G8" s="4"/>
      <c r="H8" s="22"/>
      <c r="I8" s="4"/>
      <c r="J8" s="5"/>
    </row>
    <row r="9" spans="1:11" x14ac:dyDescent="0.25">
      <c r="A9">
        <v>1</v>
      </c>
      <c r="B9" t="s">
        <v>79</v>
      </c>
      <c r="C9" t="s">
        <v>71</v>
      </c>
      <c r="D9" s="23" t="s">
        <v>37</v>
      </c>
      <c r="E9" s="2">
        <v>46146</v>
      </c>
      <c r="F9" s="2"/>
      <c r="G9" s="2"/>
      <c r="H9" s="23" t="s">
        <v>26</v>
      </c>
      <c r="I9" s="12">
        <f>K9+J9</f>
        <v>4</v>
      </c>
      <c r="J9" s="12">
        <v>4</v>
      </c>
      <c r="K9" s="12"/>
    </row>
    <row r="10" spans="1:11" x14ac:dyDescent="0.25">
      <c r="A10">
        <f>A9+1</f>
        <v>2</v>
      </c>
      <c r="B10" t="s">
        <v>79</v>
      </c>
      <c r="C10" t="s">
        <v>72</v>
      </c>
      <c r="D10" s="23" t="s">
        <v>37</v>
      </c>
      <c r="E10" s="2">
        <v>46146</v>
      </c>
      <c r="F10" s="2"/>
      <c r="G10" s="2"/>
      <c r="H10" s="23" t="s">
        <v>26</v>
      </c>
      <c r="I10" s="12">
        <f t="shared" ref="I10:I27" si="0">K10+J10</f>
        <v>11</v>
      </c>
      <c r="J10" s="12">
        <v>8</v>
      </c>
      <c r="K10" s="12">
        <v>3</v>
      </c>
    </row>
    <row r="11" spans="1:11" x14ac:dyDescent="0.25">
      <c r="A11">
        <f t="shared" ref="A11:A18" si="1">A10+1</f>
        <v>3</v>
      </c>
      <c r="B11" t="s">
        <v>79</v>
      </c>
      <c r="C11" t="s">
        <v>73</v>
      </c>
      <c r="D11" s="23" t="s">
        <v>37</v>
      </c>
      <c r="E11" s="2">
        <v>46146</v>
      </c>
      <c r="G11" s="2"/>
      <c r="H11" s="23" t="s">
        <v>26</v>
      </c>
      <c r="I11" s="12">
        <f t="shared" si="0"/>
        <v>2</v>
      </c>
      <c r="J11" s="12">
        <v>2</v>
      </c>
      <c r="K11" s="12"/>
    </row>
    <row r="12" spans="1:11" x14ac:dyDescent="0.25">
      <c r="A12">
        <f t="shared" si="1"/>
        <v>4</v>
      </c>
      <c r="B12" t="s">
        <v>79</v>
      </c>
      <c r="C12" t="s">
        <v>74</v>
      </c>
      <c r="D12" s="23" t="s">
        <v>37</v>
      </c>
      <c r="E12" s="2">
        <v>46146</v>
      </c>
      <c r="G12" s="2"/>
      <c r="H12" s="23" t="s">
        <v>26</v>
      </c>
      <c r="I12" s="12">
        <f t="shared" si="0"/>
        <v>4</v>
      </c>
      <c r="J12" s="12">
        <v>4</v>
      </c>
      <c r="K12" s="12"/>
    </row>
    <row r="13" spans="1:11" x14ac:dyDescent="0.25">
      <c r="A13">
        <f t="shared" si="1"/>
        <v>5</v>
      </c>
      <c r="B13" t="s">
        <v>79</v>
      </c>
      <c r="C13" t="s">
        <v>75</v>
      </c>
      <c r="D13" s="23" t="s">
        <v>37</v>
      </c>
      <c r="E13" s="2">
        <v>46146</v>
      </c>
      <c r="G13" s="2"/>
      <c r="H13" s="23" t="s">
        <v>26</v>
      </c>
      <c r="I13" s="12">
        <f t="shared" si="0"/>
        <v>4.5</v>
      </c>
      <c r="J13" s="12">
        <v>4.5</v>
      </c>
      <c r="K13" s="12"/>
    </row>
    <row r="14" spans="1:11" x14ac:dyDescent="0.25">
      <c r="A14">
        <f t="shared" si="1"/>
        <v>6</v>
      </c>
      <c r="B14" t="s">
        <v>79</v>
      </c>
      <c r="C14" t="s">
        <v>76</v>
      </c>
      <c r="D14" s="23" t="s">
        <v>68</v>
      </c>
      <c r="E14" s="2">
        <v>46146</v>
      </c>
      <c r="H14" s="23" t="s">
        <v>26</v>
      </c>
      <c r="I14" s="12">
        <f t="shared" si="0"/>
        <v>4</v>
      </c>
      <c r="J14" s="12">
        <v>2</v>
      </c>
      <c r="K14" s="12">
        <v>2</v>
      </c>
    </row>
    <row r="15" spans="1:11" x14ac:dyDescent="0.25">
      <c r="A15">
        <f t="shared" si="1"/>
        <v>7</v>
      </c>
      <c r="B15" t="s">
        <v>79</v>
      </c>
      <c r="C15" s="27" t="s">
        <v>110</v>
      </c>
      <c r="D15" s="23" t="s">
        <v>37</v>
      </c>
      <c r="E15" s="2">
        <v>46146</v>
      </c>
      <c r="H15" s="23" t="s">
        <v>26</v>
      </c>
      <c r="I15" s="12">
        <f t="shared" si="0"/>
        <v>2</v>
      </c>
      <c r="J15" s="12">
        <v>2</v>
      </c>
      <c r="K15" s="12"/>
    </row>
    <row r="16" spans="1:11" x14ac:dyDescent="0.25">
      <c r="A16">
        <f t="shared" si="1"/>
        <v>8</v>
      </c>
      <c r="B16" t="s">
        <v>79</v>
      </c>
      <c r="C16" s="27" t="s">
        <v>111</v>
      </c>
      <c r="D16" s="23" t="s">
        <v>37</v>
      </c>
      <c r="E16" s="2">
        <v>46146</v>
      </c>
      <c r="H16" s="23" t="s">
        <v>26</v>
      </c>
      <c r="I16" s="12">
        <f t="shared" si="0"/>
        <v>5</v>
      </c>
      <c r="J16" s="12">
        <v>4</v>
      </c>
      <c r="K16" s="12">
        <v>1</v>
      </c>
    </row>
    <row r="17" spans="1:11" x14ac:dyDescent="0.25">
      <c r="A17">
        <f t="shared" si="1"/>
        <v>9</v>
      </c>
      <c r="B17" t="s">
        <v>79</v>
      </c>
      <c r="C17" t="s">
        <v>112</v>
      </c>
      <c r="D17" s="23" t="s">
        <v>37</v>
      </c>
      <c r="E17" s="2">
        <v>46146</v>
      </c>
      <c r="H17" s="23" t="s">
        <v>26</v>
      </c>
      <c r="I17" s="12">
        <f t="shared" si="0"/>
        <v>4</v>
      </c>
      <c r="J17" s="12">
        <v>4</v>
      </c>
      <c r="K17" s="12"/>
    </row>
    <row r="18" spans="1:11" x14ac:dyDescent="0.25">
      <c r="A18">
        <f t="shared" si="1"/>
        <v>10</v>
      </c>
      <c r="B18" t="s">
        <v>79</v>
      </c>
      <c r="C18" s="28" t="s">
        <v>114</v>
      </c>
      <c r="D18" s="23" t="s">
        <v>37</v>
      </c>
      <c r="E18" s="2">
        <v>46146</v>
      </c>
      <c r="H18" s="23" t="s">
        <v>26</v>
      </c>
      <c r="I18" s="12">
        <f t="shared" si="0"/>
        <v>4.5</v>
      </c>
      <c r="J18" s="12">
        <v>4.5</v>
      </c>
      <c r="K18" s="12"/>
    </row>
    <row r="19" spans="1:11" x14ac:dyDescent="0.25">
      <c r="C19" t="s">
        <v>116</v>
      </c>
      <c r="D19" s="23" t="s">
        <v>37</v>
      </c>
      <c r="E19" s="2">
        <v>46153</v>
      </c>
      <c r="H19" s="23" t="s">
        <v>26</v>
      </c>
      <c r="I19" s="12"/>
      <c r="J19" s="12"/>
      <c r="K19" s="12">
        <v>3.5</v>
      </c>
    </row>
    <row r="20" spans="1:11" x14ac:dyDescent="0.25">
      <c r="C20" t="s">
        <v>117</v>
      </c>
      <c r="D20" s="23" t="s">
        <v>37</v>
      </c>
      <c r="E20" s="2">
        <v>46153</v>
      </c>
      <c r="H20" s="23" t="s">
        <v>26</v>
      </c>
      <c r="I20" s="12"/>
      <c r="J20" s="12"/>
      <c r="K20" s="12">
        <v>3</v>
      </c>
    </row>
    <row r="21" spans="1:11" x14ac:dyDescent="0.25">
      <c r="C21" t="s">
        <v>118</v>
      </c>
      <c r="D21" s="23" t="s">
        <v>37</v>
      </c>
      <c r="E21" s="2">
        <v>46153</v>
      </c>
      <c r="H21" s="23" t="s">
        <v>26</v>
      </c>
      <c r="I21" s="12"/>
      <c r="J21" s="12"/>
      <c r="K21" s="12">
        <v>4.5</v>
      </c>
    </row>
    <row r="22" spans="1:11" x14ac:dyDescent="0.25">
      <c r="C22" t="s">
        <v>119</v>
      </c>
      <c r="D22" s="23" t="s">
        <v>37</v>
      </c>
      <c r="E22" s="2">
        <v>46153</v>
      </c>
      <c r="H22" s="23" t="s">
        <v>26</v>
      </c>
      <c r="I22" s="12"/>
      <c r="J22" s="12"/>
      <c r="K22" s="12">
        <v>3</v>
      </c>
    </row>
    <row r="23" spans="1:11" x14ac:dyDescent="0.25">
      <c r="C23" t="s">
        <v>120</v>
      </c>
      <c r="D23" s="23" t="s">
        <v>37</v>
      </c>
      <c r="E23" s="2">
        <v>46153</v>
      </c>
      <c r="H23" s="23" t="s">
        <v>26</v>
      </c>
      <c r="I23" s="12"/>
      <c r="J23" s="12"/>
      <c r="K23" s="12">
        <v>3</v>
      </c>
    </row>
    <row r="24" spans="1:11" x14ac:dyDescent="0.25">
      <c r="C24" t="s">
        <v>121</v>
      </c>
      <c r="D24" s="23" t="s">
        <v>37</v>
      </c>
      <c r="E24" s="2">
        <v>46153</v>
      </c>
      <c r="H24" s="23" t="s">
        <v>26</v>
      </c>
      <c r="I24" s="12"/>
      <c r="J24" s="12"/>
      <c r="K24" s="12">
        <v>4</v>
      </c>
    </row>
    <row r="25" spans="1:11" x14ac:dyDescent="0.25">
      <c r="C25" t="s">
        <v>122</v>
      </c>
      <c r="D25" s="23" t="s">
        <v>37</v>
      </c>
      <c r="E25" s="2">
        <v>46153</v>
      </c>
      <c r="H25" s="23" t="s">
        <v>26</v>
      </c>
      <c r="I25" s="12"/>
      <c r="J25" s="12"/>
      <c r="K25" s="12">
        <v>3</v>
      </c>
    </row>
    <row r="26" spans="1:11" x14ac:dyDescent="0.25">
      <c r="C26" t="s">
        <v>123</v>
      </c>
      <c r="D26" s="23" t="s">
        <v>37</v>
      </c>
      <c r="E26" s="2">
        <v>46153</v>
      </c>
      <c r="H26" s="23" t="s">
        <v>26</v>
      </c>
      <c r="I26" s="12">
        <f t="shared" si="0"/>
        <v>3</v>
      </c>
      <c r="J26" s="12"/>
      <c r="K26" s="12">
        <v>3</v>
      </c>
    </row>
    <row r="27" spans="1:11" x14ac:dyDescent="0.25">
      <c r="C27" t="s">
        <v>124</v>
      </c>
      <c r="D27" s="23" t="s">
        <v>37</v>
      </c>
      <c r="E27" s="2">
        <v>46153</v>
      </c>
      <c r="H27" s="23" t="s">
        <v>26</v>
      </c>
      <c r="I27" s="12">
        <f t="shared" si="0"/>
        <v>3</v>
      </c>
      <c r="J27" s="12"/>
      <c r="K27" s="12">
        <v>3</v>
      </c>
    </row>
    <row r="28" spans="1:11" x14ac:dyDescent="0.25">
      <c r="C28" t="s">
        <v>125</v>
      </c>
      <c r="D28" s="23" t="s">
        <v>37</v>
      </c>
      <c r="E28" s="2">
        <v>46153</v>
      </c>
      <c r="H28" s="23" t="s">
        <v>26</v>
      </c>
      <c r="K28" s="12">
        <v>3</v>
      </c>
    </row>
    <row r="29" spans="1:11" x14ac:dyDescent="0.25">
      <c r="C29" s="29"/>
      <c r="D29" s="23"/>
      <c r="H29" s="23"/>
    </row>
    <row r="30" spans="1:11" ht="15.75" thickBot="1" x14ac:dyDescent="0.3">
      <c r="A30" s="11" t="s">
        <v>15</v>
      </c>
      <c r="B30" s="8"/>
      <c r="C30" s="8"/>
      <c r="D30" s="8"/>
      <c r="E30" s="8"/>
      <c r="F30" s="8"/>
      <c r="G30" s="8"/>
      <c r="H30" s="8"/>
      <c r="I30" s="13">
        <f>SUM(I8:I28)</f>
        <v>51</v>
      </c>
      <c r="J30" s="13">
        <f>SUM(J8:J28)</f>
        <v>39</v>
      </c>
      <c r="K30" s="13">
        <f>SUM(K8:K28)</f>
        <v>39</v>
      </c>
    </row>
    <row r="31" spans="1:11" ht="15.75" thickTop="1" x14ac:dyDescent="0.25">
      <c r="I31" s="12"/>
      <c r="J31" s="12"/>
      <c r="K31" s="12"/>
    </row>
    <row r="32" spans="1:11" x14ac:dyDescent="0.25">
      <c r="A32" s="1" t="s">
        <v>16</v>
      </c>
      <c r="I32" s="12"/>
      <c r="J32" s="12"/>
      <c r="K32" s="12"/>
    </row>
    <row r="33" spans="1:11" x14ac:dyDescent="0.25">
      <c r="B33" t="s">
        <v>17</v>
      </c>
      <c r="I33" s="12">
        <f>SUM(J33:J33)</f>
        <v>1</v>
      </c>
      <c r="J33" s="12">
        <v>1</v>
      </c>
      <c r="K33" s="12">
        <v>1</v>
      </c>
    </row>
    <row r="34" spans="1:11" x14ac:dyDescent="0.25">
      <c r="B34" t="s">
        <v>18</v>
      </c>
      <c r="I34" s="12">
        <f>SUM(J34:J34)</f>
        <v>0</v>
      </c>
      <c r="J34" s="12"/>
      <c r="K34" s="12"/>
    </row>
    <row r="35" spans="1:11" x14ac:dyDescent="0.25">
      <c r="B35" t="s">
        <v>19</v>
      </c>
      <c r="I35" s="12">
        <f>SUM(J35:J35)</f>
        <v>0</v>
      </c>
      <c r="J35" s="12"/>
      <c r="K35" s="12"/>
    </row>
    <row r="36" spans="1:11" x14ac:dyDescent="0.25">
      <c r="B36" t="s">
        <v>20</v>
      </c>
      <c r="I36" s="12">
        <f>SUM(J36:J36)</f>
        <v>0</v>
      </c>
      <c r="J36" s="12"/>
      <c r="K36" s="12"/>
    </row>
    <row r="37" spans="1:11" x14ac:dyDescent="0.25">
      <c r="B37" t="s">
        <v>21</v>
      </c>
      <c r="I37" s="12"/>
      <c r="J37" s="12"/>
      <c r="K37" s="12"/>
    </row>
    <row r="39" spans="1:11" ht="15.75" thickBot="1" x14ac:dyDescent="0.3">
      <c r="A39" s="11" t="s">
        <v>22</v>
      </c>
      <c r="B39" s="8"/>
      <c r="C39" s="8"/>
      <c r="D39" s="8"/>
      <c r="E39" s="8"/>
      <c r="F39" s="8"/>
      <c r="G39" s="8"/>
      <c r="H39" s="8"/>
      <c r="I39" s="13">
        <f>SUM(I33:I38)</f>
        <v>1</v>
      </c>
      <c r="J39" s="13">
        <f t="shared" ref="J39:K39" si="2">SUM(J33:J38)</f>
        <v>1</v>
      </c>
      <c r="K39" s="13">
        <f t="shared" si="2"/>
        <v>1</v>
      </c>
    </row>
    <row r="40" spans="1:11" ht="15.75" thickTop="1" x14ac:dyDescent="0.25">
      <c r="I40" s="12"/>
      <c r="J40" s="12"/>
      <c r="K40" s="12"/>
    </row>
    <row r="41" spans="1:11" ht="15.75" thickBot="1" x14ac:dyDescent="0.3">
      <c r="A41" s="11" t="s">
        <v>23</v>
      </c>
      <c r="B41" s="8"/>
      <c r="C41" s="8"/>
      <c r="D41" s="8"/>
      <c r="E41" s="8"/>
      <c r="F41" s="8"/>
      <c r="G41" s="8"/>
      <c r="H41" s="8"/>
      <c r="I41" s="13">
        <f>+I39+I30</f>
        <v>52</v>
      </c>
      <c r="J41" s="13">
        <f t="shared" ref="J41:K41" si="3">+J39+J30</f>
        <v>40</v>
      </c>
      <c r="K41" s="13">
        <f t="shared" si="3"/>
        <v>40</v>
      </c>
    </row>
    <row r="42" spans="1:11" ht="15.75" thickTop="1" x14ac:dyDescent="0.25"/>
    <row r="44" spans="1:11" ht="15.75" thickBot="1" x14ac:dyDescent="0.3">
      <c r="A44" s="11" t="s">
        <v>24</v>
      </c>
      <c r="B44" s="8"/>
      <c r="C44" s="8"/>
      <c r="D44" s="8"/>
      <c r="E44" s="8"/>
      <c r="F44" s="8"/>
      <c r="G44" s="8"/>
      <c r="H44" s="8"/>
      <c r="I44" s="13"/>
      <c r="J44" s="13">
        <v>40</v>
      </c>
      <c r="K44" s="13">
        <v>40</v>
      </c>
    </row>
    <row r="45" spans="1:11" ht="16.5" thickTop="1" thickBot="1" x14ac:dyDescent="0.3">
      <c r="A45" s="11" t="s">
        <v>25</v>
      </c>
      <c r="B45" s="8"/>
      <c r="C45" s="8"/>
      <c r="D45" s="8"/>
      <c r="E45" s="8"/>
      <c r="F45" s="8"/>
      <c r="G45" s="8"/>
      <c r="H45" s="8"/>
      <c r="I45" s="13"/>
      <c r="J45" s="13">
        <f t="shared" ref="J45:K45" si="4">+J44-J41</f>
        <v>0</v>
      </c>
      <c r="K45" s="13">
        <f t="shared" si="4"/>
        <v>0</v>
      </c>
    </row>
    <row r="46" spans="1:11" ht="15.75" thickTop="1" x14ac:dyDescent="0.25"/>
  </sheetData>
  <protectedRanges>
    <protectedRange sqref="B28:B29 A33:XFD38 A8:XFD8 E29:XFD29 G9:J15 G16:H17 J16:J25 J26:K27 L9:XFD27 C15:C27 I16:I27 A9:A29 E9:E28 F18:H27 F28:XFD28" name="Range1"/>
    <protectedRange sqref="D9:D29" name="Range1_2"/>
    <protectedRange sqref="F9:F10" name="Range1_3"/>
    <protectedRange sqref="B9:B27" name="Range1_1_2"/>
    <protectedRange sqref="C11:C14" name="Range1_4"/>
    <protectedRange sqref="C9" name="Range1_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H9:H29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7" sqref="C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35</v>
      </c>
      <c r="C2" s="21" t="s">
        <v>40</v>
      </c>
    </row>
    <row r="3" spans="2:3" x14ac:dyDescent="0.25">
      <c r="B3" s="18" t="s">
        <v>36</v>
      </c>
      <c r="C3" s="19" t="s">
        <v>41</v>
      </c>
    </row>
    <row r="4" spans="2:3" x14ac:dyDescent="0.25">
      <c r="B4" s="18" t="s">
        <v>42</v>
      </c>
      <c r="C4" s="19" t="s">
        <v>43</v>
      </c>
    </row>
    <row r="5" spans="2:3" x14ac:dyDescent="0.25">
      <c r="B5" s="18" t="s">
        <v>44</v>
      </c>
      <c r="C5" s="19" t="s">
        <v>45</v>
      </c>
    </row>
    <row r="6" spans="2:3" x14ac:dyDescent="0.25">
      <c r="B6" s="18" t="s">
        <v>37</v>
      </c>
      <c r="C6" s="19" t="s">
        <v>46</v>
      </c>
    </row>
    <row r="7" spans="2:3" x14ac:dyDescent="0.25">
      <c r="B7" s="18" t="s">
        <v>68</v>
      </c>
      <c r="C7" s="19" t="s">
        <v>69</v>
      </c>
    </row>
    <row r="8" spans="2:3" x14ac:dyDescent="0.25">
      <c r="B8" s="18" t="s">
        <v>47</v>
      </c>
      <c r="C8" s="19" t="s">
        <v>48</v>
      </c>
    </row>
    <row r="9" spans="2:3" x14ac:dyDescent="0.25">
      <c r="B9" s="18" t="s">
        <v>38</v>
      </c>
      <c r="C9" s="19" t="s">
        <v>49</v>
      </c>
    </row>
    <row r="10" spans="2:3" x14ac:dyDescent="0.25">
      <c r="B10" s="18" t="s">
        <v>39</v>
      </c>
      <c r="C10" s="19" t="s">
        <v>50</v>
      </c>
    </row>
    <row r="11" spans="2:3" x14ac:dyDescent="0.25">
      <c r="B11" s="18" t="s">
        <v>51</v>
      </c>
      <c r="C11" s="19" t="s">
        <v>52</v>
      </c>
    </row>
    <row r="14" spans="2:3" ht="16.5" x14ac:dyDescent="0.25">
      <c r="B14" s="21" t="s">
        <v>53</v>
      </c>
      <c r="C14" s="21" t="s">
        <v>40</v>
      </c>
    </row>
    <row r="15" spans="2:3" x14ac:dyDescent="0.25">
      <c r="B15" s="20" t="s">
        <v>26</v>
      </c>
      <c r="C15" s="19" t="s">
        <v>54</v>
      </c>
    </row>
    <row r="16" spans="2:3" x14ac:dyDescent="0.25">
      <c r="B16" s="20" t="s">
        <v>55</v>
      </c>
      <c r="C16" s="19" t="s">
        <v>56</v>
      </c>
    </row>
    <row r="17" spans="2:3" x14ac:dyDescent="0.25">
      <c r="B17" s="20" t="s">
        <v>34</v>
      </c>
      <c r="C17" s="19" t="s">
        <v>57</v>
      </c>
    </row>
    <row r="18" spans="2:3" x14ac:dyDescent="0.25">
      <c r="B18" s="20" t="s">
        <v>14</v>
      </c>
      <c r="C18" s="19" t="s">
        <v>58</v>
      </c>
    </row>
    <row r="19" spans="2:3" x14ac:dyDescent="0.25">
      <c r="B19" s="20" t="s">
        <v>27</v>
      </c>
      <c r="C19" s="19" t="s">
        <v>59</v>
      </c>
    </row>
    <row r="20" spans="2:3" x14ac:dyDescent="0.25">
      <c r="B20" s="20" t="s">
        <v>28</v>
      </c>
      <c r="C20" s="19" t="s">
        <v>60</v>
      </c>
    </row>
    <row r="21" spans="2:3" x14ac:dyDescent="0.25">
      <c r="B21" s="20" t="s">
        <v>61</v>
      </c>
      <c r="C21" s="19" t="s">
        <v>62</v>
      </c>
    </row>
    <row r="22" spans="2:3" x14ac:dyDescent="0.25">
      <c r="B22" s="20" t="s">
        <v>33</v>
      </c>
      <c r="C22" s="19" t="s">
        <v>63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29</v>
      </c>
    </row>
    <row r="2" spans="1:1" s="15" customFormat="1" ht="15.75" x14ac:dyDescent="0.25">
      <c r="A2" s="16"/>
    </row>
    <row r="3" spans="1:1" s="15" customFormat="1" ht="15.75" x14ac:dyDescent="0.25">
      <c r="A3" s="14" t="s">
        <v>66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30</v>
      </c>
    </row>
    <row r="8" spans="1:1" ht="15.75" x14ac:dyDescent="0.25">
      <c r="A8" s="14" t="s">
        <v>67</v>
      </c>
    </row>
    <row r="9" spans="1:1" ht="15.75" x14ac:dyDescent="0.25">
      <c r="A9" s="14" t="s">
        <v>65</v>
      </c>
    </row>
    <row r="10" spans="1:1" ht="15.75" x14ac:dyDescent="0.25">
      <c r="A10" s="14" t="s">
        <v>31</v>
      </c>
    </row>
    <row r="11" spans="1:1" ht="15.75" x14ac:dyDescent="0.25">
      <c r="A11" s="14" t="s">
        <v>32</v>
      </c>
    </row>
    <row r="12" spans="1:1" ht="15.75" x14ac:dyDescent="0.25">
      <c r="A12" s="14" t="s">
        <v>64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197-E241-4506-B88A-DB1A98DD8024}">
  <dimension ref="A1:B31"/>
  <sheetViews>
    <sheetView workbookViewId="0">
      <selection activeCell="J10" sqref="J10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5" t="s">
        <v>80</v>
      </c>
      <c r="B1" s="25" t="s">
        <v>6</v>
      </c>
    </row>
    <row r="2" spans="1:2" x14ac:dyDescent="0.25">
      <c r="A2" s="25">
        <v>1</v>
      </c>
      <c r="B2" s="26" t="s">
        <v>81</v>
      </c>
    </row>
    <row r="3" spans="1:2" x14ac:dyDescent="0.25">
      <c r="A3" s="25">
        <v>2</v>
      </c>
      <c r="B3" s="26" t="s">
        <v>82</v>
      </c>
    </row>
    <row r="4" spans="1:2" x14ac:dyDescent="0.25">
      <c r="A4" s="25">
        <v>3</v>
      </c>
      <c r="B4" s="26" t="s">
        <v>83</v>
      </c>
    </row>
    <row r="5" spans="1:2" x14ac:dyDescent="0.25">
      <c r="A5" s="25">
        <v>4</v>
      </c>
      <c r="B5" s="26" t="s">
        <v>84</v>
      </c>
    </row>
    <row r="6" spans="1:2" x14ac:dyDescent="0.25">
      <c r="A6" s="25">
        <v>5</v>
      </c>
      <c r="B6" s="26" t="s">
        <v>85</v>
      </c>
    </row>
    <row r="7" spans="1:2" x14ac:dyDescent="0.25">
      <c r="A7" s="25">
        <v>6</v>
      </c>
      <c r="B7" s="26" t="s">
        <v>79</v>
      </c>
    </row>
    <row r="8" spans="1:2" x14ac:dyDescent="0.25">
      <c r="A8" s="25">
        <v>7</v>
      </c>
      <c r="B8" s="26" t="s">
        <v>86</v>
      </c>
    </row>
    <row r="9" spans="1:2" x14ac:dyDescent="0.25">
      <c r="A9" s="25">
        <v>8</v>
      </c>
      <c r="B9" s="26" t="s">
        <v>87</v>
      </c>
    </row>
    <row r="10" spans="1:2" x14ac:dyDescent="0.25">
      <c r="A10" s="25">
        <v>9</v>
      </c>
      <c r="B10" s="26" t="s">
        <v>88</v>
      </c>
    </row>
    <row r="11" spans="1:2" x14ac:dyDescent="0.25">
      <c r="A11" s="25">
        <v>10</v>
      </c>
      <c r="B11" s="26" t="s">
        <v>89</v>
      </c>
    </row>
    <row r="12" spans="1:2" x14ac:dyDescent="0.25">
      <c r="A12" s="25">
        <v>11</v>
      </c>
      <c r="B12" s="26" t="s">
        <v>90</v>
      </c>
    </row>
    <row r="13" spans="1:2" x14ac:dyDescent="0.25">
      <c r="A13" s="25">
        <v>12</v>
      </c>
      <c r="B13" s="26" t="s">
        <v>91</v>
      </c>
    </row>
    <row r="14" spans="1:2" x14ac:dyDescent="0.25">
      <c r="A14" s="25">
        <v>13</v>
      </c>
      <c r="B14" s="26" t="s">
        <v>92</v>
      </c>
    </row>
    <row r="15" spans="1:2" x14ac:dyDescent="0.25">
      <c r="A15" s="25">
        <v>14</v>
      </c>
      <c r="B15" s="26" t="s">
        <v>93</v>
      </c>
    </row>
    <row r="16" spans="1:2" x14ac:dyDescent="0.25">
      <c r="A16" s="25">
        <v>15</v>
      </c>
      <c r="B16" s="26" t="s">
        <v>94</v>
      </c>
    </row>
    <row r="17" spans="1:2" x14ac:dyDescent="0.25">
      <c r="A17" s="25">
        <v>16</v>
      </c>
      <c r="B17" s="26" t="s">
        <v>95</v>
      </c>
    </row>
    <row r="18" spans="1:2" x14ac:dyDescent="0.25">
      <c r="A18" s="25">
        <v>17</v>
      </c>
      <c r="B18" s="26" t="s">
        <v>96</v>
      </c>
    </row>
    <row r="19" spans="1:2" x14ac:dyDescent="0.25">
      <c r="A19" s="25">
        <v>18</v>
      </c>
      <c r="B19" s="26" t="s">
        <v>97</v>
      </c>
    </row>
    <row r="20" spans="1:2" x14ac:dyDescent="0.25">
      <c r="A20" s="25">
        <v>19</v>
      </c>
      <c r="B20" s="26" t="s">
        <v>98</v>
      </c>
    </row>
    <row r="21" spans="1:2" x14ac:dyDescent="0.25">
      <c r="A21" s="25">
        <v>20</v>
      </c>
      <c r="B21" s="26" t="s">
        <v>99</v>
      </c>
    </row>
    <row r="22" spans="1:2" x14ac:dyDescent="0.25">
      <c r="A22" s="25">
        <v>21</v>
      </c>
      <c r="B22" s="26" t="s">
        <v>100</v>
      </c>
    </row>
    <row r="23" spans="1:2" x14ac:dyDescent="0.25">
      <c r="A23" s="25">
        <v>22</v>
      </c>
      <c r="B23" s="26" t="s">
        <v>101</v>
      </c>
    </row>
    <row r="24" spans="1:2" x14ac:dyDescent="0.25">
      <c r="A24" s="25">
        <v>23</v>
      </c>
      <c r="B24" s="26" t="s">
        <v>102</v>
      </c>
    </row>
    <row r="25" spans="1:2" x14ac:dyDescent="0.25">
      <c r="A25" s="25">
        <v>24</v>
      </c>
      <c r="B25" s="26" t="s">
        <v>103</v>
      </c>
    </row>
    <row r="26" spans="1:2" x14ac:dyDescent="0.25">
      <c r="A26" s="25">
        <v>25</v>
      </c>
      <c r="B26" s="26" t="s">
        <v>104</v>
      </c>
    </row>
    <row r="27" spans="1:2" x14ac:dyDescent="0.25">
      <c r="A27" s="25">
        <v>26</v>
      </c>
      <c r="B27" s="26" t="s">
        <v>105</v>
      </c>
    </row>
    <row r="28" spans="1:2" x14ac:dyDescent="0.25">
      <c r="A28" s="25">
        <v>27</v>
      </c>
      <c r="B28" s="26" t="s">
        <v>106</v>
      </c>
    </row>
    <row r="29" spans="1:2" x14ac:dyDescent="0.25">
      <c r="A29" s="25">
        <v>28</v>
      </c>
      <c r="B29" s="26" t="s">
        <v>107</v>
      </c>
    </row>
    <row r="30" spans="1:2" x14ac:dyDescent="0.25">
      <c r="A30" s="25">
        <v>29</v>
      </c>
      <c r="B30" s="26" t="s">
        <v>108</v>
      </c>
    </row>
    <row r="31" spans="1:2" x14ac:dyDescent="0.25">
      <c r="A31" s="25">
        <v>30</v>
      </c>
      <c r="B31" s="2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Akshaykumar Chhatrodiya</cp:lastModifiedBy>
  <cp:revision/>
  <dcterms:created xsi:type="dcterms:W3CDTF">2015-06-05T18:17:20Z</dcterms:created>
  <dcterms:modified xsi:type="dcterms:W3CDTF">2026-05-01T13:24:59Z</dcterms:modified>
  <cp:category/>
  <cp:contentStatus/>
</cp:coreProperties>
</file>