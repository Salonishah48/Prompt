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ndeep Chavda\"/>
    </mc:Choice>
  </mc:AlternateContent>
  <xr:revisionPtr revIDLastSave="0" documentId="13_ncr:1_{18019EBC-09AD-4EAE-BDCF-35FB3EEE3B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WIP!$A$7:$N$73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K73" i="1"/>
  <c r="M73" i="1"/>
  <c r="L73" i="1"/>
  <c r="J73" i="1"/>
  <c r="I71" i="1"/>
  <c r="I70" i="1"/>
  <c r="I69" i="1"/>
  <c r="I68" i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9" i="1"/>
  <c r="I79" i="1" l="1"/>
  <c r="I78" i="1"/>
  <c r="I77" i="1"/>
  <c r="I76" i="1"/>
  <c r="I82" i="1" l="1"/>
  <c r="J82" i="1"/>
  <c r="I73" i="1" l="1"/>
  <c r="M82" i="1"/>
  <c r="L82" i="1"/>
  <c r="K82" i="1"/>
  <c r="K6" i="1"/>
  <c r="L6" i="1" s="1"/>
  <c r="M6" i="1" s="1"/>
  <c r="N6" i="1" s="1"/>
  <c r="M84" i="1" l="1"/>
  <c r="M88" i="1" s="1"/>
  <c r="J84" i="1"/>
  <c r="J88" i="1" s="1"/>
  <c r="K84" i="1"/>
  <c r="K88" i="1" s="1"/>
  <c r="L84" i="1"/>
  <c r="L88" i="1" s="1"/>
  <c r="I84" i="1"/>
</calcChain>
</file>

<file path=xl/sharedStrings.xml><?xml version="1.0" encoding="utf-8"?>
<sst xmlns="http://schemas.openxmlformats.org/spreadsheetml/2006/main" count="336" uniqueCount="140">
  <si>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</si>
  <si>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</si>
  <si>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</si>
  <si>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</si>
  <si>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</si>
  <si>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</si>
  <si>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</si>
  <si>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</si>
  <si>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</si>
  <si>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</si>
  <si>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</si>
  <si>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</si>
  <si>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</si>
  <si>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</si>
  <si>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</si>
  <si>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</si>
  <si>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</si>
  <si>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</si>
  <si>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</si>
  <si>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</si>
  <si>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</si>
  <si>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</si>
  <si>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</si>
  <si>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</si>
  <si>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</si>
  <si>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</si>
  <si>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</si>
  <si>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</si>
  <si>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</si>
  <si>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</si>
  <si>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</si>
  <si>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</si>
  <si>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</si>
  <si>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</si>
  <si>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</si>
  <si>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</si>
  <si>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</si>
  <si>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</si>
  <si>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</si>
  <si>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</si>
  <si>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</si>
  <si>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</si>
  <si>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</si>
  <si>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</si>
  <si>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</si>
  <si>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</si>
  <si>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</si>
  <si>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</si>
  <si>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</si>
  <si>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</si>
  <si>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</si>
  <si>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</si>
  <si>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</si>
  <si>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</si>
  <si>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</si>
  <si>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</si>
  <si>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</si>
  <si>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</si>
  <si>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</si>
  <si>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</si>
  <si>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</si>
  <si>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</si>
  <si>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</si>
  <si>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</si>
  <si>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</si>
  <si>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</si>
  <si>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</si>
  <si>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</si>
  <si>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</si>
  <si>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</si>
  <si>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</si>
  <si>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</si>
  <si>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</si>
  <si>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</si>
  <si>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Sharp Income Tax Service</t>
  </si>
  <si>
    <t>Admin- General</t>
  </si>
  <si>
    <t>George Birkhold Farm</t>
  </si>
  <si>
    <t>George Birkhold Stable</t>
  </si>
  <si>
    <t>Gloria Rigopulos Trust</t>
  </si>
  <si>
    <t>Consolidated Management</t>
  </si>
  <si>
    <t>Consolidated Employee Organization</t>
  </si>
  <si>
    <t>Birkhold Irrevocable Trust</t>
  </si>
  <si>
    <t>McPhee Property Management</t>
  </si>
  <si>
    <t>George Birkhold Rentals</t>
  </si>
  <si>
    <t>GCLB Service</t>
  </si>
  <si>
    <t>Nyla</t>
  </si>
  <si>
    <t>Tilden Place LLC</t>
  </si>
  <si>
    <t>60 Minute Cleaners</t>
  </si>
  <si>
    <t>Andrew Ford Fine Art</t>
  </si>
  <si>
    <t>Assured Maintenance</t>
  </si>
  <si>
    <t>Blue Dolphin Café</t>
  </si>
  <si>
    <t>Brett D McIntosh PA</t>
  </si>
  <si>
    <t>BW Tile</t>
  </si>
  <si>
    <t xml:space="preserve">Canady Cooling </t>
  </si>
  <si>
    <t>Conrad Services</t>
  </si>
  <si>
    <t>Doug Kresge LLC</t>
  </si>
  <si>
    <t>Florida Agriculture Manufacturing</t>
  </si>
  <si>
    <t>Florida Gulf Coast Underground</t>
  </si>
  <si>
    <t>Ford Art &amp; Antiques</t>
  </si>
  <si>
    <t>Ford Properties</t>
  </si>
  <si>
    <t>Gracida Homes</t>
  </si>
  <si>
    <t>Hanbro Enterprise</t>
  </si>
  <si>
    <t>Hannon Healthcare Solution</t>
  </si>
  <si>
    <t>Ingrid Walker PA</t>
  </si>
  <si>
    <t>Jay's Fencing LLC</t>
  </si>
  <si>
    <t>JNJ Painting</t>
  </si>
  <si>
    <t>JoeRob Inc</t>
  </si>
  <si>
    <t>JSE Retail</t>
  </si>
  <si>
    <t>LoLo Investments</t>
  </si>
  <si>
    <t>Masse Site Services</t>
  </si>
  <si>
    <t>Ocean Minded Spirits</t>
  </si>
  <si>
    <t>On the Level Cabinetry of Manatee</t>
  </si>
  <si>
    <t>Pat O’Hara Pavers</t>
  </si>
  <si>
    <t>Premier Shipping &amp; Crafting</t>
  </si>
  <si>
    <t>REL Home Service</t>
  </si>
  <si>
    <t>Rogue Promotions</t>
  </si>
  <si>
    <t>RWD Building Co.</t>
  </si>
  <si>
    <t>Sarasota Estate Auction</t>
  </si>
  <si>
    <t>Sarasota Free Golf Cart Rentals</t>
  </si>
  <si>
    <t>Sarasota Trading LLC</t>
  </si>
  <si>
    <t>Signature Senior Solution</t>
  </si>
  <si>
    <t>SpiceStation SRQ</t>
  </si>
  <si>
    <t>Tall Hills</t>
  </si>
  <si>
    <t>Tami Wilkies</t>
  </si>
  <si>
    <t>Tightline Charters</t>
  </si>
  <si>
    <t>Vanhoof Construction</t>
  </si>
  <si>
    <t>Venture Tree Services</t>
  </si>
  <si>
    <t>West FL Tile</t>
  </si>
  <si>
    <t>William Weston Gracida LLC</t>
  </si>
  <si>
    <t>Woobie Gear</t>
  </si>
  <si>
    <t>Pankti Shah</t>
  </si>
  <si>
    <t>Sandeepkumar Chavda</t>
  </si>
  <si>
    <t>Week 5</t>
  </si>
  <si>
    <t>Semi Senior</t>
  </si>
  <si>
    <t>Level Up Innovation</t>
  </si>
  <si>
    <t>Kristen Ae Bohan</t>
  </si>
  <si>
    <t>Ted's Trimline</t>
  </si>
  <si>
    <t>Budget Dental</t>
  </si>
  <si>
    <t>Skip Tree Service</t>
  </si>
  <si>
    <t>Sharp Income Tax Service,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</si>
</sst>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43" fontId="0" fillId="0" borderId="0" xfId="1" applyFont="1" applyAlignment="1">
      <alignment vertical="center" wrapText="1"/>
    </xf>
    <xf numFmtId="0" fontId="0" fillId="5" borderId="0" xfId="0" applyFill="1" applyAlignment="1">
      <alignment vertical="center"/>
    </xf>
    <xf numFmtId="14" fontId="0" fillId="0" borderId="0" xfId="0" applyNumberFormat="1" applyAlignment="1">
      <alignment vertical="center"/>
    </xf>
    <xf numFmtId="43" fontId="0" fillId="5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43" fontId="0" fillId="0" borderId="0" xfId="1" applyFont="1" applyFill="1"/>
    <xf numFmtId="43" fontId="0" fillId="0" borderId="0" xfId="1" applyFont="1" applyFill="1" applyAlignment="1">
      <alignment vertical="center" wrapText="1"/>
    </xf>
    <xf numFmtId="0" fontId="9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defaultRowHeight="15" x14ac:dyDescent="0.25"/>
  <cols>
    <col min="1" max="1" width="13.42578125" bestFit="1" customWidth="1"/>
    <col min="2" max="2" width="28.85546875" bestFit="1" customWidth="1"/>
    <col min="3" max="3" width="25.140625" customWidth="1"/>
    <col min="4" max="4" width="26.42578125" bestFit="1" customWidth="1"/>
    <col min="5" max="5" width="10.85546875" bestFit="1" customWidth="1"/>
    <col min="6" max="6" width="11" bestFit="1" customWidth="1"/>
    <col min="7" max="7" width="11.42578125" bestFit="1" customWidth="1"/>
    <col min="8" max="8" width="15.7109375" bestFit="1" customWidth="1"/>
    <col min="9" max="9" width="21" bestFit="1" customWidth="1"/>
    <col min="10" max="14" width="10.85546875" bestFit="1" customWidth="1"/>
  </cols>
  <sheetData>
    <row r="1" spans="1:14" x14ac:dyDescent="0.25">
      <c r="A1" s="1" t="s">
        <v>0</v>
      </c>
      <c r="H1" s="10"/>
    </row>
    <row r="2" spans="1:14" x14ac:dyDescent="0.25">
      <c r="A2" s="1" t="s">
        <v>1</v>
      </c>
      <c r="B2" s="8" t="s">
        <v>130</v>
      </c>
      <c r="C2" s="8"/>
      <c r="H2" s="1"/>
      <c r="I2" s="1"/>
      <c r="J2" s="9"/>
      <c r="K2" s="9"/>
      <c r="L2" s="9"/>
      <c r="M2" s="9"/>
    </row>
    <row r="3" spans="1:14" x14ac:dyDescent="0.25">
      <c r="A3" s="1" t="s">
        <v>2</v>
      </c>
      <c r="B3" s="8" t="s">
        <v>133</v>
      </c>
      <c r="C3" s="8"/>
      <c r="H3" s="1"/>
      <c r="I3" s="1"/>
      <c r="J3" s="9"/>
      <c r="K3" s="9"/>
      <c r="L3" s="9"/>
      <c r="M3" s="9"/>
    </row>
    <row r="4" spans="1:14" x14ac:dyDescent="0.25">
      <c r="A4" s="1" t="s">
        <v>3</v>
      </c>
      <c r="B4" s="8" t="s">
        <v>131</v>
      </c>
      <c r="C4" s="8"/>
      <c r="H4" s="1"/>
      <c r="I4" s="1"/>
      <c r="J4" s="9"/>
      <c r="K4" s="9"/>
      <c r="L4" s="9"/>
      <c r="M4" s="9"/>
    </row>
    <row r="5" spans="1:14" x14ac:dyDescent="0.25">
      <c r="A5" s="1"/>
      <c r="B5" s="8"/>
      <c r="C5" s="8"/>
    </row>
    <row r="6" spans="1:14" x14ac:dyDescent="0.25">
      <c r="I6" s="6" t="s">
        <v>4</v>
      </c>
      <c r="J6" s="25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s="1" customFormat="1" ht="30" x14ac:dyDescent="0.25">
      <c r="A7" s="3" t="s">
        <v>5</v>
      </c>
      <c r="B7" s="3" t="s">
        <v>6</v>
      </c>
      <c r="C7" s="3" t="s">
        <v>7</v>
      </c>
      <c r="D7" s="22" t="s">
        <v>39</v>
      </c>
      <c r="E7" s="3" t="s">
        <v>8</v>
      </c>
      <c r="F7" s="3" t="s">
        <v>9</v>
      </c>
      <c r="G7" s="3" t="s">
        <v>10</v>
      </c>
      <c r="H7" s="22" t="s">
        <v>11</v>
      </c>
      <c r="I7" s="22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3" t="s">
        <v>132</v>
      </c>
    </row>
    <row r="8" spans="1:14" s="1" customFormat="1" x14ac:dyDescent="0.25">
      <c r="A8" s="5" t="s">
        <v>17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4" x14ac:dyDescent="0.25">
      <c r="A9">
        <v>1</v>
      </c>
      <c r="B9" s="39" t="s">
        <v>139</v>
      </c>
      <c r="C9" s="28" t="s">
        <v>75</v>
      </c>
      <c r="D9" s="23" t="s">
        <v>41</v>
      </c>
      <c r="E9" s="31">
        <v>46146</v>
      </c>
      <c r="F9" s="2">
        <v>46146</v>
      </c>
      <c r="G9" s="2">
        <v>46146</v>
      </c>
      <c r="H9" s="23" t="s">
        <v>30</v>
      </c>
      <c r="I9" s="26">
        <f t="shared" ref="I9:I40" si="0">SUM(J9:M9)</f>
        <v>2.5</v>
      </c>
      <c r="J9" s="12">
        <f>0.5*5</f>
        <v>2.5</v>
      </c>
      <c r="K9" s="12"/>
      <c r="L9" s="12"/>
      <c r="M9" s="12"/>
    </row>
    <row r="10" spans="1:14" x14ac:dyDescent="0.25">
      <c r="A10">
        <f>+A9+1</f>
        <v>2</v>
      </c>
      <c r="B10" s="39" t="s">
        <v>139</v>
      </c>
      <c r="C10" s="28" t="s">
        <v>76</v>
      </c>
      <c r="D10" s="23" t="s">
        <v>41</v>
      </c>
      <c r="E10" s="31">
        <v>46115</v>
      </c>
      <c r="F10" s="31">
        <v>46173</v>
      </c>
      <c r="G10" s="31">
        <v>46115</v>
      </c>
      <c r="H10" s="23" t="s">
        <v>30</v>
      </c>
      <c r="I10" s="26">
        <f t="shared" si="0"/>
        <v>1.5</v>
      </c>
      <c r="J10" s="12">
        <v>1.5</v>
      </c>
      <c r="K10" s="12"/>
      <c r="L10" s="12"/>
      <c r="M10" s="12"/>
    </row>
    <row r="11" spans="1:14" x14ac:dyDescent="0.25">
      <c r="A11">
        <f t="shared" ref="A11:A72" si="1">+A10+1</f>
        <v>3</v>
      </c>
      <c r="B11" s="39" t="s">
        <v>139</v>
      </c>
      <c r="C11" s="28" t="s">
        <v>77</v>
      </c>
      <c r="D11" s="23" t="s">
        <v>41</v>
      </c>
      <c r="E11" s="31">
        <v>46112</v>
      </c>
      <c r="F11" s="31">
        <v>46173</v>
      </c>
      <c r="G11" s="31">
        <v>46112</v>
      </c>
      <c r="H11" s="23" t="s">
        <v>30</v>
      </c>
      <c r="I11" s="26">
        <f t="shared" si="0"/>
        <v>1.5</v>
      </c>
      <c r="J11" s="12">
        <v>1.5</v>
      </c>
      <c r="K11" s="12"/>
      <c r="L11" s="12"/>
      <c r="M11" s="12"/>
    </row>
    <row r="12" spans="1:14" x14ac:dyDescent="0.25">
      <c r="A12">
        <f t="shared" si="1"/>
        <v>4</v>
      </c>
      <c r="B12" s="39" t="s">
        <v>139</v>
      </c>
      <c r="C12" s="28" t="s">
        <v>78</v>
      </c>
      <c r="D12" s="23" t="s">
        <v>41</v>
      </c>
      <c r="E12" s="31">
        <v>46113</v>
      </c>
      <c r="F12" s="31">
        <v>46173</v>
      </c>
      <c r="G12" s="31">
        <v>46113</v>
      </c>
      <c r="H12" s="23" t="s">
        <v>30</v>
      </c>
      <c r="I12" s="26">
        <f t="shared" si="0"/>
        <v>0.5</v>
      </c>
      <c r="J12" s="12">
        <v>0.5</v>
      </c>
      <c r="K12" s="12"/>
      <c r="L12" s="12"/>
      <c r="M12" s="12"/>
    </row>
    <row r="13" spans="1:14" s="29" customFormat="1" ht="30" x14ac:dyDescent="0.25">
      <c r="A13">
        <f t="shared" si="1"/>
        <v>5</v>
      </c>
      <c r="B13" s="39" t="s">
        <v>139</v>
      </c>
      <c r="C13" s="28" t="s">
        <v>79</v>
      </c>
      <c r="D13" s="33" t="s">
        <v>41</v>
      </c>
      <c r="E13" s="31">
        <v>46114</v>
      </c>
      <c r="F13" s="31">
        <v>46173</v>
      </c>
      <c r="G13" s="31">
        <v>46114</v>
      </c>
      <c r="H13" s="23" t="s">
        <v>30</v>
      </c>
      <c r="I13" s="26">
        <f t="shared" si="0"/>
        <v>1.75</v>
      </c>
      <c r="J13" s="36">
        <v>1.75</v>
      </c>
      <c r="K13" s="36"/>
      <c r="L13" s="36"/>
      <c r="M13" s="36"/>
    </row>
    <row r="14" spans="1:14" ht="30" x14ac:dyDescent="0.25">
      <c r="A14">
        <f t="shared" si="1"/>
        <v>6</v>
      </c>
      <c r="B14" s="39" t="s">
        <v>139</v>
      </c>
      <c r="C14" s="28" t="s">
        <v>80</v>
      </c>
      <c r="D14" s="23" t="s">
        <v>41</v>
      </c>
      <c r="E14" s="31">
        <v>46115</v>
      </c>
      <c r="F14" s="31">
        <v>46173</v>
      </c>
      <c r="G14" s="31">
        <v>46115</v>
      </c>
      <c r="H14" s="23" t="s">
        <v>30</v>
      </c>
      <c r="I14" s="26">
        <f t="shared" si="0"/>
        <v>2.25</v>
      </c>
      <c r="J14" s="12">
        <v>2.25</v>
      </c>
      <c r="K14" s="12"/>
      <c r="L14" s="12"/>
      <c r="M14" s="12"/>
    </row>
    <row r="15" spans="1:14" x14ac:dyDescent="0.25">
      <c r="A15">
        <f t="shared" si="1"/>
        <v>7</v>
      </c>
      <c r="B15" s="39" t="s">
        <v>139</v>
      </c>
      <c r="C15" s="28" t="s">
        <v>81</v>
      </c>
      <c r="D15" s="23" t="s">
        <v>41</v>
      </c>
      <c r="E15" s="31">
        <v>46114</v>
      </c>
      <c r="F15" s="31">
        <v>46173</v>
      </c>
      <c r="G15" s="31">
        <v>46114</v>
      </c>
      <c r="H15" s="23" t="s">
        <v>30</v>
      </c>
      <c r="I15" s="26">
        <f t="shared" si="0"/>
        <v>1.75</v>
      </c>
      <c r="J15" s="12">
        <v>1.75</v>
      </c>
      <c r="K15" s="12"/>
      <c r="L15" s="12"/>
      <c r="M15" s="12"/>
    </row>
    <row r="16" spans="1:14" s="29" customFormat="1" ht="30" x14ac:dyDescent="0.25">
      <c r="A16" s="29">
        <f t="shared" si="1"/>
        <v>8</v>
      </c>
      <c r="B16" s="39" t="s">
        <v>139</v>
      </c>
      <c r="C16" s="28" t="s">
        <v>82</v>
      </c>
      <c r="D16" s="33" t="s">
        <v>41</v>
      </c>
      <c r="E16" s="31">
        <v>46132</v>
      </c>
      <c r="F16" s="31">
        <v>46173</v>
      </c>
      <c r="G16" s="31">
        <v>46132</v>
      </c>
      <c r="H16" s="23" t="s">
        <v>30</v>
      </c>
      <c r="I16" s="35">
        <f t="shared" si="0"/>
        <v>0</v>
      </c>
      <c r="J16" s="36"/>
      <c r="K16" s="36"/>
      <c r="L16" s="36"/>
      <c r="M16" s="36"/>
    </row>
    <row r="17" spans="1:13" x14ac:dyDescent="0.25">
      <c r="A17">
        <f t="shared" si="1"/>
        <v>9</v>
      </c>
      <c r="B17" s="39" t="s">
        <v>139</v>
      </c>
      <c r="C17" s="28" t="s">
        <v>83</v>
      </c>
      <c r="D17" s="23" t="s">
        <v>41</v>
      </c>
      <c r="E17" s="31">
        <v>46115</v>
      </c>
      <c r="F17" s="31">
        <v>46173</v>
      </c>
      <c r="G17" s="31">
        <v>46115</v>
      </c>
      <c r="H17" s="23" t="s">
        <v>30</v>
      </c>
      <c r="I17" s="26">
        <f t="shared" si="0"/>
        <v>1.75</v>
      </c>
      <c r="J17" s="12">
        <v>1.75</v>
      </c>
      <c r="K17" s="12"/>
      <c r="L17" s="12"/>
      <c r="M17" s="12"/>
    </row>
    <row r="18" spans="1:13" x14ac:dyDescent="0.25">
      <c r="A18">
        <f t="shared" si="1"/>
        <v>10</v>
      </c>
      <c r="B18" s="39" t="s">
        <v>139</v>
      </c>
      <c r="C18" s="28" t="s">
        <v>74</v>
      </c>
      <c r="D18" s="23" t="s">
        <v>41</v>
      </c>
      <c r="E18" s="31">
        <v>46115</v>
      </c>
      <c r="F18" s="31">
        <v>46173</v>
      </c>
      <c r="G18" s="31">
        <v>46115</v>
      </c>
      <c r="H18" s="23" t="s">
        <v>30</v>
      </c>
      <c r="I18" s="26">
        <f t="shared" si="0"/>
        <v>3.5</v>
      </c>
      <c r="J18" s="12">
        <v>3.5</v>
      </c>
      <c r="K18" s="12"/>
      <c r="L18" s="12"/>
      <c r="M18" s="12"/>
    </row>
    <row r="19" spans="1:13" x14ac:dyDescent="0.25">
      <c r="A19">
        <f t="shared" si="1"/>
        <v>11</v>
      </c>
      <c r="B19" s="39" t="s">
        <v>139</v>
      </c>
      <c r="C19" s="28" t="s">
        <v>84</v>
      </c>
      <c r="D19" s="23" t="s">
        <v>41</v>
      </c>
      <c r="E19" s="31">
        <v>46119</v>
      </c>
      <c r="F19" s="31">
        <v>46173</v>
      </c>
      <c r="G19" s="31">
        <v>46119</v>
      </c>
      <c r="H19" s="23" t="s">
        <v>30</v>
      </c>
      <c r="I19" s="26">
        <f t="shared" si="0"/>
        <v>3.5</v>
      </c>
      <c r="J19" s="12">
        <v>3.5</v>
      </c>
      <c r="K19" s="12"/>
      <c r="L19" s="12"/>
      <c r="M19" s="12"/>
    </row>
    <row r="20" spans="1:13" x14ac:dyDescent="0.25">
      <c r="A20">
        <f t="shared" si="1"/>
        <v>12</v>
      </c>
      <c r="B20" s="39" t="s">
        <v>139</v>
      </c>
      <c r="C20" s="28" t="s">
        <v>85</v>
      </c>
      <c r="D20" s="23" t="s">
        <v>41</v>
      </c>
      <c r="E20" s="31">
        <v>46121</v>
      </c>
      <c r="F20" s="31">
        <v>46173</v>
      </c>
      <c r="G20" s="31">
        <v>46121</v>
      </c>
      <c r="H20" s="23" t="s">
        <v>30</v>
      </c>
      <c r="I20" s="26">
        <f t="shared" si="0"/>
        <v>0</v>
      </c>
      <c r="J20" s="12"/>
      <c r="K20" s="12"/>
      <c r="L20" s="12"/>
      <c r="M20" s="12"/>
    </row>
    <row r="21" spans="1:13" x14ac:dyDescent="0.25">
      <c r="A21">
        <f t="shared" si="1"/>
        <v>13</v>
      </c>
      <c r="B21" s="39" t="s">
        <v>139</v>
      </c>
      <c r="C21" s="28" t="s">
        <v>86</v>
      </c>
      <c r="D21" s="23" t="s">
        <v>41</v>
      </c>
      <c r="E21" s="31">
        <v>46127</v>
      </c>
      <c r="F21" s="31">
        <v>46173</v>
      </c>
      <c r="G21" s="31">
        <v>46127</v>
      </c>
      <c r="H21" s="23" t="s">
        <v>30</v>
      </c>
      <c r="I21" s="26">
        <f t="shared" si="0"/>
        <v>1.5</v>
      </c>
      <c r="J21" s="12"/>
      <c r="K21" s="12">
        <v>1.5</v>
      </c>
      <c r="L21" s="12"/>
      <c r="M21" s="12"/>
    </row>
    <row r="22" spans="1:13" x14ac:dyDescent="0.25">
      <c r="A22">
        <f t="shared" si="1"/>
        <v>14</v>
      </c>
      <c r="B22" s="39" t="s">
        <v>139</v>
      </c>
      <c r="C22" s="28" t="s">
        <v>101</v>
      </c>
      <c r="D22" s="23" t="s">
        <v>41</v>
      </c>
      <c r="E22" s="2">
        <v>46121</v>
      </c>
      <c r="F22" s="31">
        <v>46173</v>
      </c>
      <c r="G22" s="2">
        <v>46121</v>
      </c>
      <c r="H22" s="23" t="s">
        <v>30</v>
      </c>
      <c r="I22" s="26">
        <f t="shared" si="0"/>
        <v>0</v>
      </c>
      <c r="J22" s="32"/>
      <c r="K22" s="32"/>
      <c r="L22" s="12"/>
      <c r="M22" s="12"/>
    </row>
    <row r="23" spans="1:13" s="29" customFormat="1" ht="30" x14ac:dyDescent="0.25">
      <c r="A23">
        <f t="shared" si="1"/>
        <v>15</v>
      </c>
      <c r="B23" s="39" t="s">
        <v>139</v>
      </c>
      <c r="C23" s="28" t="s">
        <v>102</v>
      </c>
      <c r="D23" s="33" t="s">
        <v>41</v>
      </c>
      <c r="E23" s="34">
        <v>46121</v>
      </c>
      <c r="F23" s="31">
        <v>46173</v>
      </c>
      <c r="G23" s="2">
        <v>46121</v>
      </c>
      <c r="H23" s="23" t="s">
        <v>30</v>
      </c>
      <c r="I23" s="26">
        <f t="shared" si="0"/>
        <v>0</v>
      </c>
      <c r="J23" s="32"/>
      <c r="K23" s="32"/>
      <c r="L23" s="36"/>
      <c r="M23" s="36"/>
    </row>
    <row r="24" spans="1:13" x14ac:dyDescent="0.25">
      <c r="A24">
        <f t="shared" si="1"/>
        <v>16</v>
      </c>
      <c r="B24" s="39" t="s">
        <v>139</v>
      </c>
      <c r="C24" s="28" t="s">
        <v>94</v>
      </c>
      <c r="D24" s="23" t="s">
        <v>41</v>
      </c>
      <c r="E24" s="2">
        <v>46114</v>
      </c>
      <c r="F24" s="31">
        <v>46173</v>
      </c>
      <c r="G24" s="2">
        <v>46114</v>
      </c>
      <c r="H24" s="23" t="s">
        <v>30</v>
      </c>
      <c r="I24" s="26">
        <f t="shared" si="0"/>
        <v>3</v>
      </c>
      <c r="J24" s="32">
        <v>3</v>
      </c>
      <c r="K24" s="32"/>
      <c r="L24" s="12"/>
      <c r="M24" s="12"/>
    </row>
    <row r="25" spans="1:13" s="29" customFormat="1" ht="30" x14ac:dyDescent="0.25">
      <c r="A25" s="29">
        <f t="shared" si="1"/>
        <v>17</v>
      </c>
      <c r="B25" s="39" t="s">
        <v>139</v>
      </c>
      <c r="C25" s="28" t="s">
        <v>128</v>
      </c>
      <c r="D25" s="33" t="s">
        <v>41</v>
      </c>
      <c r="E25" s="34">
        <v>46125</v>
      </c>
      <c r="F25" s="31">
        <v>46173</v>
      </c>
      <c r="G25" s="34">
        <v>46125</v>
      </c>
      <c r="H25" s="23" t="s">
        <v>30</v>
      </c>
      <c r="I25" s="35">
        <f t="shared" si="0"/>
        <v>2.5</v>
      </c>
      <c r="J25" s="36"/>
      <c r="K25" s="36">
        <v>2.5</v>
      </c>
      <c r="L25" s="36"/>
      <c r="M25" s="36"/>
    </row>
    <row r="26" spans="1:13" x14ac:dyDescent="0.25">
      <c r="A26">
        <f t="shared" si="1"/>
        <v>18</v>
      </c>
      <c r="B26" s="39" t="s">
        <v>139</v>
      </c>
      <c r="C26" s="28" t="s">
        <v>129</v>
      </c>
      <c r="D26" s="23" t="s">
        <v>41</v>
      </c>
      <c r="E26" s="2">
        <v>46125</v>
      </c>
      <c r="F26" s="31">
        <v>46173</v>
      </c>
      <c r="G26" s="2">
        <v>46125</v>
      </c>
      <c r="H26" s="23" t="s">
        <v>30</v>
      </c>
      <c r="I26" s="26">
        <f t="shared" si="0"/>
        <v>1.5</v>
      </c>
      <c r="J26" s="12"/>
      <c r="K26" s="12">
        <v>1.5</v>
      </c>
      <c r="L26" s="12"/>
      <c r="M26" s="12"/>
    </row>
    <row r="27" spans="1:13" x14ac:dyDescent="0.25">
      <c r="A27">
        <f t="shared" si="1"/>
        <v>19</v>
      </c>
      <c r="B27" s="39" t="s">
        <v>139</v>
      </c>
      <c r="C27" s="30" t="s">
        <v>115</v>
      </c>
      <c r="D27" s="23" t="s">
        <v>41</v>
      </c>
      <c r="E27" s="2">
        <v>46123</v>
      </c>
      <c r="F27" s="31">
        <v>46173</v>
      </c>
      <c r="G27" s="2">
        <v>46123</v>
      </c>
      <c r="H27" s="23" t="s">
        <v>30</v>
      </c>
      <c r="I27" s="26">
        <f t="shared" si="0"/>
        <v>2.5</v>
      </c>
      <c r="J27" s="32"/>
      <c r="K27" s="32">
        <v>2.5</v>
      </c>
      <c r="L27" s="12"/>
      <c r="M27" s="12"/>
    </row>
    <row r="28" spans="1:13" x14ac:dyDescent="0.25">
      <c r="A28">
        <f t="shared" si="1"/>
        <v>20</v>
      </c>
      <c r="B28" s="39" t="s">
        <v>139</v>
      </c>
      <c r="C28" s="29" t="s">
        <v>126</v>
      </c>
      <c r="D28" s="23" t="s">
        <v>41</v>
      </c>
      <c r="E28" s="2">
        <v>46122</v>
      </c>
      <c r="F28" s="31">
        <v>46173</v>
      </c>
      <c r="G28" s="2">
        <v>46122</v>
      </c>
      <c r="H28" s="23" t="s">
        <v>30</v>
      </c>
      <c r="I28" s="26">
        <f t="shared" si="0"/>
        <v>4.5</v>
      </c>
      <c r="J28" s="32"/>
      <c r="K28" s="32">
        <v>4.5</v>
      </c>
      <c r="L28" s="12"/>
      <c r="M28" s="12"/>
    </row>
    <row r="29" spans="1:13" x14ac:dyDescent="0.25">
      <c r="A29">
        <f t="shared" si="1"/>
        <v>21</v>
      </c>
      <c r="B29" s="39" t="s">
        <v>139</v>
      </c>
      <c r="C29" s="29" t="s">
        <v>96</v>
      </c>
      <c r="D29" s="23" t="s">
        <v>41</v>
      </c>
      <c r="E29" s="2">
        <v>46121</v>
      </c>
      <c r="F29" s="31">
        <v>46173</v>
      </c>
      <c r="G29" s="2">
        <v>46121</v>
      </c>
      <c r="H29" s="23" t="s">
        <v>30</v>
      </c>
      <c r="I29" s="26">
        <f t="shared" si="0"/>
        <v>0</v>
      </c>
      <c r="J29" s="32"/>
      <c r="K29" s="32"/>
      <c r="L29" s="12"/>
      <c r="M29" s="12"/>
    </row>
    <row r="30" spans="1:13" x14ac:dyDescent="0.25">
      <c r="A30">
        <f t="shared" si="1"/>
        <v>22</v>
      </c>
      <c r="B30" s="39" t="s">
        <v>139</v>
      </c>
      <c r="C30" s="29" t="s">
        <v>97</v>
      </c>
      <c r="D30" s="23" t="s">
        <v>41</v>
      </c>
      <c r="E30" s="2">
        <v>46123</v>
      </c>
      <c r="F30" s="31">
        <v>46173</v>
      </c>
      <c r="G30" s="2">
        <v>46123</v>
      </c>
      <c r="H30" s="23" t="s">
        <v>30</v>
      </c>
      <c r="I30" s="26">
        <f t="shared" si="0"/>
        <v>2.5</v>
      </c>
      <c r="J30" s="32"/>
      <c r="K30" s="32">
        <v>2.5</v>
      </c>
      <c r="L30" s="12"/>
      <c r="M30" s="12"/>
    </row>
    <row r="31" spans="1:13" x14ac:dyDescent="0.25">
      <c r="A31">
        <f t="shared" si="1"/>
        <v>23</v>
      </c>
      <c r="B31" s="39" t="s">
        <v>139</v>
      </c>
      <c r="C31" s="28" t="s">
        <v>87</v>
      </c>
      <c r="D31" s="23" t="s">
        <v>41</v>
      </c>
      <c r="E31" s="2">
        <v>46126</v>
      </c>
      <c r="F31" s="31">
        <v>46173</v>
      </c>
      <c r="G31" s="2">
        <v>46126</v>
      </c>
      <c r="H31" s="23" t="s">
        <v>30</v>
      </c>
      <c r="I31" s="26">
        <f t="shared" si="0"/>
        <v>1.5</v>
      </c>
      <c r="J31" s="32"/>
      <c r="K31" s="32">
        <v>1.5</v>
      </c>
      <c r="L31" s="12"/>
      <c r="M31" s="12"/>
    </row>
    <row r="32" spans="1:13" x14ac:dyDescent="0.25">
      <c r="A32">
        <f t="shared" si="1"/>
        <v>24</v>
      </c>
      <c r="B32" s="39" t="s">
        <v>139</v>
      </c>
      <c r="C32" s="28" t="s">
        <v>75</v>
      </c>
      <c r="D32" s="23" t="s">
        <v>41</v>
      </c>
      <c r="E32" s="2">
        <v>46153</v>
      </c>
      <c r="F32" s="2">
        <v>46153</v>
      </c>
      <c r="G32" s="2">
        <v>46153</v>
      </c>
      <c r="H32" s="23" t="s">
        <v>30</v>
      </c>
      <c r="I32" s="26">
        <f t="shared" si="0"/>
        <v>2.5</v>
      </c>
      <c r="J32" s="12"/>
      <c r="K32" s="12">
        <v>2.5</v>
      </c>
      <c r="L32" s="12"/>
      <c r="M32" s="12"/>
    </row>
    <row r="33" spans="1:13" x14ac:dyDescent="0.25">
      <c r="A33">
        <f t="shared" si="1"/>
        <v>25</v>
      </c>
      <c r="B33" s="39" t="s">
        <v>139</v>
      </c>
      <c r="C33" s="28" t="s">
        <v>117</v>
      </c>
      <c r="D33" s="23" t="s">
        <v>41</v>
      </c>
      <c r="E33" s="2">
        <v>46118</v>
      </c>
      <c r="F33" s="31">
        <v>46173</v>
      </c>
      <c r="G33" s="2">
        <v>46118</v>
      </c>
      <c r="H33" s="23" t="s">
        <v>30</v>
      </c>
      <c r="I33" s="26">
        <f t="shared" si="0"/>
        <v>3.5</v>
      </c>
      <c r="J33" s="32">
        <v>3.5</v>
      </c>
      <c r="K33" s="32"/>
      <c r="L33" s="12"/>
      <c r="M33" s="12"/>
    </row>
    <row r="34" spans="1:13" x14ac:dyDescent="0.25">
      <c r="A34">
        <f t="shared" si="1"/>
        <v>26</v>
      </c>
      <c r="B34" s="39" t="s">
        <v>139</v>
      </c>
      <c r="C34" s="28" t="s">
        <v>119</v>
      </c>
      <c r="D34" s="23" t="s">
        <v>41</v>
      </c>
      <c r="E34" s="2">
        <v>46119</v>
      </c>
      <c r="F34" s="31">
        <v>46173</v>
      </c>
      <c r="G34" s="2">
        <v>46119</v>
      </c>
      <c r="H34" s="23" t="s">
        <v>30</v>
      </c>
      <c r="I34" s="26">
        <f t="shared" si="0"/>
        <v>3.5</v>
      </c>
      <c r="J34" s="32">
        <v>3.5</v>
      </c>
      <c r="K34" s="32"/>
      <c r="L34" s="12"/>
      <c r="M34" s="12"/>
    </row>
    <row r="35" spans="1:13" x14ac:dyDescent="0.25">
      <c r="A35">
        <f t="shared" si="1"/>
        <v>27</v>
      </c>
      <c r="B35" s="39" t="s">
        <v>139</v>
      </c>
      <c r="C35" s="28" t="s">
        <v>99</v>
      </c>
      <c r="D35" s="23" t="s">
        <v>41</v>
      </c>
      <c r="E35" s="2">
        <v>46119</v>
      </c>
      <c r="F35" s="31">
        <v>46173</v>
      </c>
      <c r="G35" s="2">
        <v>46119</v>
      </c>
      <c r="H35" s="23" t="s">
        <v>30</v>
      </c>
      <c r="I35" s="26">
        <f t="shared" si="0"/>
        <v>1.5</v>
      </c>
      <c r="J35" s="32">
        <v>1.5</v>
      </c>
      <c r="K35" s="32"/>
      <c r="L35" s="12"/>
      <c r="M35" s="12"/>
    </row>
    <row r="36" spans="1:13" x14ac:dyDescent="0.25">
      <c r="A36">
        <f t="shared" si="1"/>
        <v>28</v>
      </c>
      <c r="B36" s="39" t="s">
        <v>139</v>
      </c>
      <c r="C36" s="29" t="s">
        <v>98</v>
      </c>
      <c r="D36" s="23" t="s">
        <v>41</v>
      </c>
      <c r="E36" s="2">
        <v>46118</v>
      </c>
      <c r="F36" s="31">
        <v>46173</v>
      </c>
      <c r="G36" s="2">
        <v>46118</v>
      </c>
      <c r="H36" s="23" t="s">
        <v>30</v>
      </c>
      <c r="I36" s="26">
        <f t="shared" si="0"/>
        <v>1.5</v>
      </c>
      <c r="J36" s="32">
        <v>1.5</v>
      </c>
      <c r="K36" s="32"/>
      <c r="L36" s="12"/>
      <c r="M36" s="12"/>
    </row>
    <row r="37" spans="1:13" x14ac:dyDescent="0.25">
      <c r="A37">
        <f t="shared" si="1"/>
        <v>29</v>
      </c>
      <c r="B37" s="39" t="s">
        <v>139</v>
      </c>
      <c r="C37" s="28" t="s">
        <v>90</v>
      </c>
      <c r="D37" s="23" t="s">
        <v>41</v>
      </c>
      <c r="E37" s="2">
        <v>46121</v>
      </c>
      <c r="F37" s="31">
        <v>46173</v>
      </c>
      <c r="G37" s="2">
        <v>46121</v>
      </c>
      <c r="H37" s="23" t="s">
        <v>30</v>
      </c>
      <c r="I37" s="26">
        <f t="shared" si="0"/>
        <v>0</v>
      </c>
      <c r="J37" s="32"/>
      <c r="K37" s="32"/>
      <c r="L37" s="12"/>
      <c r="M37" s="12"/>
    </row>
    <row r="38" spans="1:13" x14ac:dyDescent="0.25">
      <c r="A38">
        <f t="shared" si="1"/>
        <v>30</v>
      </c>
      <c r="B38" s="39" t="s">
        <v>139</v>
      </c>
      <c r="C38" s="28" t="s">
        <v>107</v>
      </c>
      <c r="D38" s="23" t="s">
        <v>41</v>
      </c>
      <c r="E38" s="2">
        <v>46128</v>
      </c>
      <c r="F38" s="31">
        <v>46173</v>
      </c>
      <c r="G38" s="2">
        <v>46128</v>
      </c>
      <c r="H38" s="23" t="s">
        <v>30</v>
      </c>
      <c r="I38" s="26">
        <f t="shared" si="0"/>
        <v>0</v>
      </c>
      <c r="J38" s="32"/>
      <c r="K38" s="32"/>
      <c r="L38" s="12"/>
      <c r="M38" s="12"/>
    </row>
    <row r="39" spans="1:13" s="29" customFormat="1" ht="30" x14ac:dyDescent="0.25">
      <c r="A39">
        <f t="shared" si="1"/>
        <v>31</v>
      </c>
      <c r="B39" s="39" t="s">
        <v>139</v>
      </c>
      <c r="C39" s="28" t="s">
        <v>118</v>
      </c>
      <c r="D39" s="33" t="s">
        <v>41</v>
      </c>
      <c r="E39" s="34">
        <v>46122</v>
      </c>
      <c r="F39" s="31">
        <v>46173</v>
      </c>
      <c r="G39" s="34">
        <v>46122</v>
      </c>
      <c r="H39" s="23" t="s">
        <v>30</v>
      </c>
      <c r="I39" s="26">
        <f t="shared" si="0"/>
        <v>2</v>
      </c>
      <c r="J39" s="32"/>
      <c r="K39" s="32">
        <v>2</v>
      </c>
      <c r="L39" s="36"/>
      <c r="M39" s="36"/>
    </row>
    <row r="40" spans="1:13" x14ac:dyDescent="0.25">
      <c r="A40">
        <f t="shared" si="1"/>
        <v>32</v>
      </c>
      <c r="B40" s="39" t="s">
        <v>139</v>
      </c>
      <c r="C40" s="28" t="s">
        <v>91</v>
      </c>
      <c r="D40" s="23" t="s">
        <v>41</v>
      </c>
      <c r="E40" s="2">
        <v>46123</v>
      </c>
      <c r="F40" s="31">
        <v>46173</v>
      </c>
      <c r="G40" s="2">
        <v>46123</v>
      </c>
      <c r="H40" s="23" t="s">
        <v>30</v>
      </c>
      <c r="I40" s="26">
        <f t="shared" si="0"/>
        <v>2.5</v>
      </c>
      <c r="J40" s="32"/>
      <c r="K40" s="32">
        <v>2.5</v>
      </c>
      <c r="L40" s="12"/>
      <c r="M40" s="12"/>
    </row>
    <row r="41" spans="1:13" x14ac:dyDescent="0.25">
      <c r="A41">
        <f t="shared" si="1"/>
        <v>33</v>
      </c>
      <c r="B41" s="39" t="s">
        <v>139</v>
      </c>
      <c r="C41" s="28" t="s">
        <v>120</v>
      </c>
      <c r="D41" s="23" t="s">
        <v>41</v>
      </c>
      <c r="E41" s="2">
        <v>46139</v>
      </c>
      <c r="F41" s="31">
        <v>46173</v>
      </c>
      <c r="G41" s="2">
        <v>46139</v>
      </c>
      <c r="H41" s="23" t="s">
        <v>30</v>
      </c>
      <c r="I41" s="26">
        <f t="shared" ref="I41:I71" si="2">SUM(J41:M41)</f>
        <v>0</v>
      </c>
      <c r="J41" s="32"/>
      <c r="K41" s="32"/>
      <c r="L41" s="12"/>
      <c r="M41" s="12"/>
    </row>
    <row r="42" spans="1:13" x14ac:dyDescent="0.25">
      <c r="A42">
        <f t="shared" si="1"/>
        <v>34</v>
      </c>
      <c r="B42" s="39" t="s">
        <v>139</v>
      </c>
      <c r="C42" s="28" t="s">
        <v>100</v>
      </c>
      <c r="D42" s="23" t="s">
        <v>41</v>
      </c>
      <c r="E42" s="2">
        <v>46125</v>
      </c>
      <c r="F42" s="31">
        <v>46173</v>
      </c>
      <c r="G42" s="2">
        <v>46125</v>
      </c>
      <c r="H42" s="23" t="s">
        <v>30</v>
      </c>
      <c r="I42" s="26">
        <f t="shared" si="2"/>
        <v>3.5</v>
      </c>
      <c r="J42" s="32"/>
      <c r="K42" s="32">
        <v>3.5</v>
      </c>
      <c r="L42" s="12"/>
      <c r="M42" s="12"/>
    </row>
    <row r="43" spans="1:13" x14ac:dyDescent="0.25">
      <c r="A43">
        <f t="shared" si="1"/>
        <v>35</v>
      </c>
      <c r="B43" s="39" t="s">
        <v>139</v>
      </c>
      <c r="C43" s="28" t="s">
        <v>104</v>
      </c>
      <c r="D43" s="23" t="s">
        <v>41</v>
      </c>
      <c r="E43" s="2">
        <v>46125</v>
      </c>
      <c r="F43" s="31">
        <v>46173</v>
      </c>
      <c r="G43" s="2">
        <v>46125</v>
      </c>
      <c r="H43" s="23" t="s">
        <v>30</v>
      </c>
      <c r="I43" s="26">
        <f t="shared" si="2"/>
        <v>3.5</v>
      </c>
      <c r="J43" s="32"/>
      <c r="K43" s="32">
        <v>3.5</v>
      </c>
      <c r="L43" s="12"/>
      <c r="M43" s="12"/>
    </row>
    <row r="44" spans="1:13" x14ac:dyDescent="0.25">
      <c r="A44">
        <f t="shared" si="1"/>
        <v>36</v>
      </c>
      <c r="B44" s="39" t="s">
        <v>139</v>
      </c>
      <c r="C44" s="28" t="s">
        <v>123</v>
      </c>
      <c r="D44" s="23" t="s">
        <v>41</v>
      </c>
      <c r="E44" s="2">
        <v>46122</v>
      </c>
      <c r="F44" s="31">
        <v>46173</v>
      </c>
      <c r="G44" s="2">
        <v>46122</v>
      </c>
      <c r="H44" s="23" t="s">
        <v>30</v>
      </c>
      <c r="I44" s="26">
        <f t="shared" si="2"/>
        <v>2.5</v>
      </c>
      <c r="J44" s="32"/>
      <c r="K44" s="32">
        <v>2.5</v>
      </c>
      <c r="L44" s="12"/>
      <c r="M44" s="12"/>
    </row>
    <row r="45" spans="1:13" x14ac:dyDescent="0.25">
      <c r="A45">
        <f t="shared" si="1"/>
        <v>37</v>
      </c>
      <c r="B45" s="39" t="s">
        <v>139</v>
      </c>
      <c r="C45" s="28" t="s">
        <v>89</v>
      </c>
      <c r="D45" s="23" t="s">
        <v>41</v>
      </c>
      <c r="E45" s="2">
        <v>46126</v>
      </c>
      <c r="F45" s="31">
        <v>46173</v>
      </c>
      <c r="G45" s="2">
        <v>46126</v>
      </c>
      <c r="H45" s="23" t="s">
        <v>30</v>
      </c>
      <c r="I45" s="26">
        <f t="shared" si="2"/>
        <v>2.25</v>
      </c>
      <c r="J45" s="32"/>
      <c r="K45" s="32">
        <v>2.25</v>
      </c>
      <c r="L45" s="12"/>
      <c r="M45" s="12"/>
    </row>
    <row r="46" spans="1:13" x14ac:dyDescent="0.25">
      <c r="A46">
        <f t="shared" si="1"/>
        <v>38</v>
      </c>
      <c r="B46" s="39" t="s">
        <v>139</v>
      </c>
      <c r="C46" s="29" t="s">
        <v>116</v>
      </c>
      <c r="D46" s="23" t="s">
        <v>41</v>
      </c>
      <c r="E46" s="2">
        <v>46126</v>
      </c>
      <c r="F46" s="31">
        <v>46173</v>
      </c>
      <c r="G46" s="2">
        <v>46126</v>
      </c>
      <c r="H46" s="23" t="s">
        <v>30</v>
      </c>
      <c r="I46" s="26">
        <f t="shared" si="2"/>
        <v>2.25</v>
      </c>
      <c r="J46" s="32"/>
      <c r="K46" s="32">
        <v>2.25</v>
      </c>
      <c r="L46" s="12"/>
      <c r="M46" s="12"/>
    </row>
    <row r="47" spans="1:13" x14ac:dyDescent="0.25">
      <c r="A47">
        <f t="shared" si="1"/>
        <v>39</v>
      </c>
      <c r="B47" s="39" t="s">
        <v>139</v>
      </c>
      <c r="C47" s="28" t="s">
        <v>125</v>
      </c>
      <c r="D47" s="23" t="s">
        <v>41</v>
      </c>
      <c r="E47" s="2">
        <v>46129</v>
      </c>
      <c r="F47" s="31">
        <v>46173</v>
      </c>
      <c r="G47" s="2">
        <v>46129</v>
      </c>
      <c r="H47" s="23" t="s">
        <v>30</v>
      </c>
      <c r="I47" s="26">
        <f t="shared" si="2"/>
        <v>0</v>
      </c>
      <c r="J47" s="32"/>
      <c r="K47" s="32"/>
      <c r="L47" s="12"/>
      <c r="M47" s="12"/>
    </row>
    <row r="48" spans="1:13" x14ac:dyDescent="0.25">
      <c r="A48">
        <f t="shared" si="1"/>
        <v>40</v>
      </c>
      <c r="B48" s="39" t="s">
        <v>139</v>
      </c>
      <c r="C48" s="28" t="s">
        <v>75</v>
      </c>
      <c r="D48" s="23" t="s">
        <v>41</v>
      </c>
      <c r="E48" s="2">
        <v>46129</v>
      </c>
      <c r="F48" s="2">
        <v>46129</v>
      </c>
      <c r="G48" s="2">
        <v>46129</v>
      </c>
      <c r="H48" s="23" t="s">
        <v>30</v>
      </c>
      <c r="I48" s="26">
        <f t="shared" si="2"/>
        <v>0</v>
      </c>
      <c r="J48" s="12"/>
      <c r="K48" s="12"/>
      <c r="L48" s="12"/>
      <c r="M48" s="12"/>
    </row>
    <row r="49" spans="1:13" x14ac:dyDescent="0.25">
      <c r="A49">
        <f t="shared" si="1"/>
        <v>41</v>
      </c>
      <c r="B49" s="39" t="s">
        <v>139</v>
      </c>
      <c r="C49" s="28" t="s">
        <v>75</v>
      </c>
      <c r="D49" s="23" t="s">
        <v>41</v>
      </c>
      <c r="E49" s="2">
        <v>46136</v>
      </c>
      <c r="F49" s="2">
        <v>46136</v>
      </c>
      <c r="G49" s="2">
        <v>46136</v>
      </c>
      <c r="H49" s="23" t="s">
        <v>30</v>
      </c>
      <c r="I49" s="26">
        <f t="shared" si="2"/>
        <v>0</v>
      </c>
      <c r="J49" s="12"/>
      <c r="K49" s="12"/>
      <c r="L49" s="12"/>
      <c r="M49" s="12"/>
    </row>
    <row r="50" spans="1:13" x14ac:dyDescent="0.25">
      <c r="A50">
        <f t="shared" si="1"/>
        <v>42</v>
      </c>
      <c r="B50" s="39" t="s">
        <v>139</v>
      </c>
      <c r="C50" s="28" t="s">
        <v>88</v>
      </c>
      <c r="D50" s="23" t="s">
        <v>41</v>
      </c>
      <c r="E50" s="2">
        <v>46119</v>
      </c>
      <c r="F50" s="31">
        <v>46173</v>
      </c>
      <c r="G50" s="2">
        <v>46119</v>
      </c>
      <c r="H50" s="23" t="s">
        <v>30</v>
      </c>
      <c r="I50" s="26">
        <f t="shared" si="2"/>
        <v>1.5</v>
      </c>
      <c r="J50" s="32">
        <v>1.5</v>
      </c>
      <c r="K50" s="32"/>
      <c r="L50" s="12"/>
      <c r="M50" s="12"/>
    </row>
    <row r="51" spans="1:13" x14ac:dyDescent="0.25">
      <c r="A51">
        <f t="shared" si="1"/>
        <v>43</v>
      </c>
      <c r="B51" s="39" t="s">
        <v>139</v>
      </c>
      <c r="C51" s="29" t="s">
        <v>92</v>
      </c>
      <c r="D51" s="23" t="s">
        <v>41</v>
      </c>
      <c r="E51" s="2">
        <v>46127</v>
      </c>
      <c r="F51" s="31">
        <v>46173</v>
      </c>
      <c r="G51" s="2">
        <v>46127</v>
      </c>
      <c r="H51" s="23" t="s">
        <v>30</v>
      </c>
      <c r="I51" s="26">
        <f t="shared" si="2"/>
        <v>0</v>
      </c>
      <c r="J51" s="32"/>
      <c r="K51" s="32"/>
      <c r="L51" s="12"/>
      <c r="M51" s="12"/>
    </row>
    <row r="52" spans="1:13" x14ac:dyDescent="0.25">
      <c r="A52">
        <f t="shared" si="1"/>
        <v>44</v>
      </c>
      <c r="B52" s="39" t="s">
        <v>139</v>
      </c>
      <c r="C52" s="28" t="s">
        <v>93</v>
      </c>
      <c r="D52" s="23" t="s">
        <v>41</v>
      </c>
      <c r="E52" s="2">
        <v>46126</v>
      </c>
      <c r="F52" s="31">
        <v>46173</v>
      </c>
      <c r="G52" s="2">
        <v>46126</v>
      </c>
      <c r="H52" s="23" t="s">
        <v>30</v>
      </c>
      <c r="I52" s="26">
        <f t="shared" si="2"/>
        <v>0</v>
      </c>
      <c r="J52" s="32"/>
      <c r="K52" s="32"/>
      <c r="L52" s="12"/>
      <c r="M52" s="12"/>
    </row>
    <row r="53" spans="1:13" x14ac:dyDescent="0.25">
      <c r="A53">
        <f t="shared" si="1"/>
        <v>45</v>
      </c>
      <c r="B53" s="39" t="s">
        <v>139</v>
      </c>
      <c r="C53" s="28" t="s">
        <v>95</v>
      </c>
      <c r="D53" s="23" t="s">
        <v>41</v>
      </c>
      <c r="E53" s="2">
        <v>46132</v>
      </c>
      <c r="F53" s="31">
        <v>46173</v>
      </c>
      <c r="G53" s="2">
        <v>46132</v>
      </c>
      <c r="H53" s="23" t="s">
        <v>30</v>
      </c>
      <c r="I53" s="26">
        <f t="shared" si="2"/>
        <v>0</v>
      </c>
      <c r="J53" s="32"/>
      <c r="K53" s="32"/>
      <c r="L53" s="12"/>
      <c r="M53" s="12"/>
    </row>
    <row r="54" spans="1:13" x14ac:dyDescent="0.25">
      <c r="A54">
        <f t="shared" si="1"/>
        <v>46</v>
      </c>
      <c r="B54" s="39" t="s">
        <v>139</v>
      </c>
      <c r="C54" s="28" t="s">
        <v>103</v>
      </c>
      <c r="D54" s="23" t="s">
        <v>41</v>
      </c>
      <c r="E54" s="2">
        <v>46128</v>
      </c>
      <c r="F54" s="31">
        <v>46173</v>
      </c>
      <c r="G54" s="2">
        <v>46128</v>
      </c>
      <c r="H54" s="23" t="s">
        <v>30</v>
      </c>
      <c r="I54" s="26">
        <f t="shared" si="2"/>
        <v>0</v>
      </c>
      <c r="J54" s="32"/>
      <c r="K54" s="32"/>
      <c r="L54" s="12"/>
      <c r="M54" s="12"/>
    </row>
    <row r="55" spans="1:13" x14ac:dyDescent="0.25">
      <c r="A55">
        <f t="shared" si="1"/>
        <v>47</v>
      </c>
      <c r="B55" s="39" t="s">
        <v>139</v>
      </c>
      <c r="C55" s="28" t="s">
        <v>105</v>
      </c>
      <c r="D55" s="23" t="s">
        <v>41</v>
      </c>
      <c r="E55" s="2">
        <v>46127</v>
      </c>
      <c r="F55" s="31">
        <v>46173</v>
      </c>
      <c r="G55" s="2">
        <v>46127</v>
      </c>
      <c r="H55" s="23" t="s">
        <v>30</v>
      </c>
      <c r="I55" s="26">
        <f t="shared" si="2"/>
        <v>0</v>
      </c>
      <c r="J55" s="32"/>
      <c r="K55" s="32"/>
      <c r="L55" s="12"/>
      <c r="M55" s="12"/>
    </row>
    <row r="56" spans="1:13" x14ac:dyDescent="0.25">
      <c r="A56">
        <f t="shared" si="1"/>
        <v>48</v>
      </c>
      <c r="B56" s="39" t="s">
        <v>139</v>
      </c>
      <c r="C56" s="28" t="s">
        <v>106</v>
      </c>
      <c r="D56" s="23" t="s">
        <v>41</v>
      </c>
      <c r="E56" s="2">
        <v>46132</v>
      </c>
      <c r="F56" s="31">
        <v>46173</v>
      </c>
      <c r="G56" s="2">
        <v>46132</v>
      </c>
      <c r="H56" s="23" t="s">
        <v>30</v>
      </c>
      <c r="I56" s="26">
        <f t="shared" si="2"/>
        <v>0</v>
      </c>
      <c r="J56" s="32"/>
      <c r="K56" s="32"/>
      <c r="L56" s="12"/>
      <c r="M56" s="12"/>
    </row>
    <row r="57" spans="1:13" x14ac:dyDescent="0.25">
      <c r="A57">
        <f t="shared" si="1"/>
        <v>49</v>
      </c>
      <c r="B57" s="39" t="s">
        <v>139</v>
      </c>
      <c r="C57" s="29" t="s">
        <v>108</v>
      </c>
      <c r="D57" s="23" t="s">
        <v>41</v>
      </c>
      <c r="E57" s="2">
        <v>46134</v>
      </c>
      <c r="F57" s="31">
        <v>46173</v>
      </c>
      <c r="G57" s="2">
        <v>46134</v>
      </c>
      <c r="H57" s="23" t="s">
        <v>30</v>
      </c>
      <c r="I57" s="26">
        <f t="shared" si="2"/>
        <v>0</v>
      </c>
      <c r="J57" s="32"/>
      <c r="K57" s="32"/>
      <c r="L57" s="12"/>
      <c r="M57" s="12"/>
    </row>
    <row r="58" spans="1:13" x14ac:dyDescent="0.25">
      <c r="A58">
        <f t="shared" si="1"/>
        <v>50</v>
      </c>
      <c r="B58" s="39" t="s">
        <v>139</v>
      </c>
      <c r="C58" s="28" t="s">
        <v>109</v>
      </c>
      <c r="D58" s="23" t="s">
        <v>41</v>
      </c>
      <c r="E58" s="2">
        <v>46128</v>
      </c>
      <c r="F58" s="31">
        <v>46173</v>
      </c>
      <c r="G58" s="2">
        <v>46128</v>
      </c>
      <c r="H58" s="23" t="s">
        <v>30</v>
      </c>
      <c r="I58" s="26">
        <f t="shared" si="2"/>
        <v>0</v>
      </c>
      <c r="J58" s="32"/>
      <c r="K58" s="32"/>
      <c r="L58" s="12"/>
      <c r="M58" s="12"/>
    </row>
    <row r="59" spans="1:13" x14ac:dyDescent="0.25">
      <c r="A59">
        <f t="shared" si="1"/>
        <v>51</v>
      </c>
      <c r="B59" s="39" t="s">
        <v>139</v>
      </c>
      <c r="C59" s="28" t="s">
        <v>110</v>
      </c>
      <c r="D59" s="23" t="s">
        <v>41</v>
      </c>
      <c r="E59" s="2">
        <v>46126</v>
      </c>
      <c r="F59" s="31">
        <v>46173</v>
      </c>
      <c r="G59" s="2">
        <v>46126</v>
      </c>
      <c r="H59" s="23" t="s">
        <v>30</v>
      </c>
      <c r="I59" s="26">
        <f t="shared" si="2"/>
        <v>0</v>
      </c>
      <c r="J59" s="12"/>
      <c r="K59" s="12"/>
      <c r="L59" s="12"/>
      <c r="M59" s="12"/>
    </row>
    <row r="60" spans="1:13" x14ac:dyDescent="0.25">
      <c r="A60">
        <f t="shared" si="1"/>
        <v>52</v>
      </c>
      <c r="B60" s="39" t="s">
        <v>139</v>
      </c>
      <c r="C60" s="29" t="s">
        <v>111</v>
      </c>
      <c r="D60" s="23" t="s">
        <v>41</v>
      </c>
      <c r="E60" s="2">
        <v>46128</v>
      </c>
      <c r="F60" s="31">
        <v>46173</v>
      </c>
      <c r="G60" s="2">
        <v>46128</v>
      </c>
      <c r="H60" s="23" t="s">
        <v>30</v>
      </c>
      <c r="I60" s="26">
        <f t="shared" si="2"/>
        <v>0</v>
      </c>
      <c r="J60" s="32"/>
      <c r="K60" s="32"/>
      <c r="L60" s="12"/>
      <c r="M60" s="12"/>
    </row>
    <row r="61" spans="1:13" x14ac:dyDescent="0.25">
      <c r="A61">
        <f t="shared" si="1"/>
        <v>53</v>
      </c>
      <c r="B61" s="39" t="s">
        <v>139</v>
      </c>
      <c r="C61" s="28" t="s">
        <v>112</v>
      </c>
      <c r="D61" s="23" t="s">
        <v>41</v>
      </c>
      <c r="E61" s="2">
        <v>46134</v>
      </c>
      <c r="F61" s="31">
        <v>46173</v>
      </c>
      <c r="G61" s="2">
        <v>46134</v>
      </c>
      <c r="H61" s="23" t="s">
        <v>30</v>
      </c>
      <c r="I61" s="26">
        <f t="shared" si="2"/>
        <v>0</v>
      </c>
      <c r="J61" s="32"/>
      <c r="K61" s="32"/>
      <c r="L61" s="12"/>
      <c r="M61" s="12"/>
    </row>
    <row r="62" spans="1:13" x14ac:dyDescent="0.25">
      <c r="A62">
        <f t="shared" si="1"/>
        <v>54</v>
      </c>
      <c r="B62" s="39" t="s">
        <v>139</v>
      </c>
      <c r="C62" s="29" t="s">
        <v>113</v>
      </c>
      <c r="D62" s="23" t="s">
        <v>41</v>
      </c>
      <c r="E62" s="2">
        <v>46133</v>
      </c>
      <c r="F62" s="31">
        <v>46173</v>
      </c>
      <c r="G62" s="2">
        <v>46133</v>
      </c>
      <c r="H62" s="23" t="s">
        <v>30</v>
      </c>
      <c r="I62" s="26">
        <f t="shared" si="2"/>
        <v>0</v>
      </c>
      <c r="J62" s="38"/>
      <c r="K62" s="38"/>
      <c r="L62" s="37"/>
      <c r="M62" s="37"/>
    </row>
    <row r="63" spans="1:13" x14ac:dyDescent="0.25">
      <c r="A63">
        <f t="shared" si="1"/>
        <v>55</v>
      </c>
      <c r="B63" s="39" t="s">
        <v>139</v>
      </c>
      <c r="C63" s="28" t="s">
        <v>114</v>
      </c>
      <c r="D63" s="23" t="s">
        <v>41</v>
      </c>
      <c r="E63" s="2">
        <v>46121</v>
      </c>
      <c r="F63" s="31">
        <v>46173</v>
      </c>
      <c r="G63" s="2">
        <v>46121</v>
      </c>
      <c r="H63" s="23" t="s">
        <v>30</v>
      </c>
      <c r="I63" s="26">
        <f t="shared" si="2"/>
        <v>0</v>
      </c>
      <c r="J63" s="38"/>
      <c r="K63" s="38"/>
      <c r="L63" s="37"/>
      <c r="M63" s="37"/>
    </row>
    <row r="64" spans="1:13" x14ac:dyDescent="0.25">
      <c r="A64">
        <f t="shared" si="1"/>
        <v>56</v>
      </c>
      <c r="B64" s="39" t="s">
        <v>139</v>
      </c>
      <c r="C64" s="28" t="s">
        <v>121</v>
      </c>
      <c r="D64" s="23" t="s">
        <v>41</v>
      </c>
      <c r="E64" s="2">
        <v>46135</v>
      </c>
      <c r="F64" s="31">
        <v>46173</v>
      </c>
      <c r="G64" s="2">
        <v>46135</v>
      </c>
      <c r="H64" s="23" t="s">
        <v>30</v>
      </c>
      <c r="I64" s="26">
        <f t="shared" si="2"/>
        <v>0</v>
      </c>
      <c r="J64" s="38"/>
      <c r="K64" s="38"/>
      <c r="L64" s="37"/>
      <c r="M64" s="37"/>
    </row>
    <row r="65" spans="1:13" x14ac:dyDescent="0.25">
      <c r="A65">
        <f t="shared" si="1"/>
        <v>57</v>
      </c>
      <c r="B65" s="39" t="s">
        <v>139</v>
      </c>
      <c r="C65" s="28" t="s">
        <v>122</v>
      </c>
      <c r="D65" s="23" t="s">
        <v>41</v>
      </c>
      <c r="E65" s="2">
        <v>46128</v>
      </c>
      <c r="F65" s="31">
        <v>46173</v>
      </c>
      <c r="G65" s="2">
        <v>46128</v>
      </c>
      <c r="H65" s="23" t="s">
        <v>30</v>
      </c>
      <c r="I65" s="26">
        <f t="shared" si="2"/>
        <v>0</v>
      </c>
      <c r="J65" s="38"/>
      <c r="K65" s="38"/>
      <c r="L65" s="37"/>
      <c r="M65" s="37"/>
    </row>
    <row r="66" spans="1:13" x14ac:dyDescent="0.25">
      <c r="A66">
        <f t="shared" si="1"/>
        <v>58</v>
      </c>
      <c r="B66" s="39" t="s">
        <v>139</v>
      </c>
      <c r="C66" s="28" t="s">
        <v>124</v>
      </c>
      <c r="D66" s="23" t="s">
        <v>41</v>
      </c>
      <c r="E66" s="2">
        <v>46129</v>
      </c>
      <c r="F66" s="31">
        <v>46173</v>
      </c>
      <c r="G66" s="2">
        <v>46129</v>
      </c>
      <c r="H66" s="23" t="s">
        <v>30</v>
      </c>
      <c r="I66" s="26">
        <f t="shared" si="2"/>
        <v>0</v>
      </c>
      <c r="J66" s="32"/>
      <c r="K66" s="32"/>
      <c r="L66" s="12"/>
      <c r="M66" s="12"/>
    </row>
    <row r="67" spans="1:13" x14ac:dyDescent="0.25">
      <c r="A67">
        <f t="shared" si="1"/>
        <v>59</v>
      </c>
      <c r="B67" s="39" t="s">
        <v>139</v>
      </c>
      <c r="C67" s="28" t="s">
        <v>127</v>
      </c>
      <c r="D67" s="23" t="s">
        <v>41</v>
      </c>
      <c r="E67" s="2">
        <v>46127</v>
      </c>
      <c r="F67" s="31">
        <v>46173</v>
      </c>
      <c r="G67" s="2">
        <v>46127</v>
      </c>
      <c r="H67" s="23" t="s">
        <v>30</v>
      </c>
      <c r="I67" s="26">
        <f t="shared" si="2"/>
        <v>0</v>
      </c>
      <c r="J67" s="32"/>
      <c r="K67" s="32"/>
      <c r="L67" s="12"/>
      <c r="M67" s="12"/>
    </row>
    <row r="68" spans="1:13" x14ac:dyDescent="0.25">
      <c r="A68">
        <f t="shared" si="1"/>
        <v>60</v>
      </c>
      <c r="B68" s="39" t="s">
        <v>139</v>
      </c>
      <c r="C68" s="28" t="s">
        <v>134</v>
      </c>
      <c r="D68" s="23" t="s">
        <v>48</v>
      </c>
      <c r="E68" s="2">
        <v>46111</v>
      </c>
      <c r="F68" s="31">
        <v>46173</v>
      </c>
      <c r="G68" s="2">
        <v>46111</v>
      </c>
      <c r="H68" s="23" t="s">
        <v>30</v>
      </c>
      <c r="I68" s="26">
        <f t="shared" si="2"/>
        <v>0</v>
      </c>
      <c r="J68" s="32"/>
      <c r="K68" s="32"/>
      <c r="L68" s="12"/>
      <c r="M68" s="12"/>
    </row>
    <row r="69" spans="1:13" x14ac:dyDescent="0.25">
      <c r="A69">
        <f t="shared" si="1"/>
        <v>61</v>
      </c>
      <c r="B69" s="39" t="s">
        <v>139</v>
      </c>
      <c r="C69" s="28" t="s">
        <v>135</v>
      </c>
      <c r="D69" s="23" t="s">
        <v>41</v>
      </c>
      <c r="E69" s="2">
        <v>46118</v>
      </c>
      <c r="F69" s="31">
        <v>46173</v>
      </c>
      <c r="G69" s="2">
        <v>46118</v>
      </c>
      <c r="H69" s="23" t="s">
        <v>30</v>
      </c>
      <c r="I69" s="26">
        <f t="shared" si="2"/>
        <v>2.5</v>
      </c>
      <c r="J69" s="32">
        <v>2.5</v>
      </c>
      <c r="K69" s="32"/>
      <c r="L69" s="12"/>
      <c r="M69" s="12"/>
    </row>
    <row r="70" spans="1:13" x14ac:dyDescent="0.25">
      <c r="A70">
        <f t="shared" si="1"/>
        <v>62</v>
      </c>
      <c r="B70" s="39" t="s">
        <v>139</v>
      </c>
      <c r="C70" s="28" t="s">
        <v>136</v>
      </c>
      <c r="D70" s="23" t="s">
        <v>51</v>
      </c>
      <c r="E70" s="2">
        <v>46127</v>
      </c>
      <c r="F70" s="31">
        <v>46173</v>
      </c>
      <c r="G70" s="2">
        <v>46127</v>
      </c>
      <c r="H70" s="23" t="s">
        <v>32</v>
      </c>
      <c r="I70" s="26">
        <f t="shared" si="2"/>
        <v>0</v>
      </c>
      <c r="J70" s="32"/>
      <c r="K70" s="32"/>
      <c r="L70" s="12"/>
      <c r="M70" s="12"/>
    </row>
    <row r="71" spans="1:13" x14ac:dyDescent="0.25">
      <c r="A71">
        <f t="shared" si="1"/>
        <v>63</v>
      </c>
      <c r="B71" s="39" t="s">
        <v>139</v>
      </c>
      <c r="C71" s="28" t="s">
        <v>137</v>
      </c>
      <c r="D71" s="23" t="s">
        <v>51</v>
      </c>
      <c r="E71" s="2">
        <v>46133</v>
      </c>
      <c r="F71" s="31">
        <v>46173</v>
      </c>
      <c r="G71" s="2">
        <v>46133</v>
      </c>
      <c r="H71" s="23" t="s">
        <v>30</v>
      </c>
      <c r="I71" s="26">
        <f t="shared" si="2"/>
        <v>0</v>
      </c>
      <c r="J71" s="32"/>
      <c r="K71" s="32"/>
      <c r="L71" s="12"/>
      <c r="M71" s="12"/>
    </row>
    <row r="72" spans="1:13" x14ac:dyDescent="0.25">
      <c r="A72">
        <f t="shared" si="1"/>
        <v>64</v>
      </c>
      <c r="B72" s="39" t="s">
        <v>139</v>
      </c>
      <c r="C72" s="28" t="s">
        <v>138</v>
      </c>
      <c r="D72" s="23" t="s">
        <v>41</v>
      </c>
      <c r="E72" s="2">
        <v>46133</v>
      </c>
      <c r="F72" s="31">
        <v>46173</v>
      </c>
      <c r="G72" s="2">
        <v>46133</v>
      </c>
      <c r="H72" s="23" t="s">
        <v>30</v>
      </c>
      <c r="I72" s="26"/>
      <c r="J72" s="32"/>
      <c r="K72" s="32"/>
      <c r="L72" s="12"/>
      <c r="M72" s="12"/>
    </row>
    <row r="73" spans="1:13" ht="15.75" thickBot="1" x14ac:dyDescent="0.3">
      <c r="A73" s="11" t="s">
        <v>19</v>
      </c>
      <c r="B73" s="7"/>
      <c r="C73" s="7"/>
      <c r="D73" s="7"/>
      <c r="E73" s="7"/>
      <c r="F73" s="7"/>
      <c r="G73" s="7"/>
      <c r="H73" s="7"/>
      <c r="I73" s="27">
        <f>SUM(I9:I67)</f>
        <v>72.5</v>
      </c>
      <c r="J73" s="13">
        <f>SUM(J9:J71)</f>
        <v>37.5</v>
      </c>
      <c r="K73" s="13">
        <f>SUM(K9:K71)</f>
        <v>37.5</v>
      </c>
      <c r="L73" s="13">
        <f>SUM(L9:L71)</f>
        <v>0</v>
      </c>
      <c r="M73" s="13">
        <f>SUM(M9:M71)</f>
        <v>0</v>
      </c>
    </row>
    <row r="74" spans="1:13" ht="15.75" thickTop="1" x14ac:dyDescent="0.25">
      <c r="I74" s="26"/>
      <c r="J74" s="12"/>
      <c r="K74" s="12"/>
      <c r="L74" s="12"/>
      <c r="M74" s="12"/>
    </row>
    <row r="75" spans="1:13" x14ac:dyDescent="0.25">
      <c r="A75" s="1" t="s">
        <v>20</v>
      </c>
      <c r="I75" s="26"/>
      <c r="J75" s="12"/>
      <c r="K75" s="12"/>
      <c r="L75" s="12"/>
      <c r="M75" s="12"/>
    </row>
    <row r="76" spans="1:13" s="29" customFormat="1" x14ac:dyDescent="0.25">
      <c r="B76" s="29" t="s">
        <v>21</v>
      </c>
      <c r="D76" s="28"/>
      <c r="I76" s="35">
        <f>SUM(J76:M76)</f>
        <v>5</v>
      </c>
      <c r="J76" s="36">
        <v>2.5</v>
      </c>
      <c r="K76" s="36">
        <v>2.5</v>
      </c>
      <c r="L76" s="36"/>
      <c r="M76" s="36"/>
    </row>
    <row r="77" spans="1:13" x14ac:dyDescent="0.25">
      <c r="B77" t="s">
        <v>22</v>
      </c>
      <c r="I77" s="26">
        <f>SUM(J77:M77)</f>
        <v>0</v>
      </c>
      <c r="J77" s="12"/>
      <c r="K77" s="12"/>
      <c r="L77" s="12"/>
      <c r="M77" s="12"/>
    </row>
    <row r="78" spans="1:13" x14ac:dyDescent="0.25">
      <c r="B78" t="s">
        <v>23</v>
      </c>
      <c r="I78" s="26">
        <f>SUM(J78:M78)</f>
        <v>0</v>
      </c>
      <c r="J78" s="12"/>
      <c r="K78" s="12"/>
      <c r="L78" s="12"/>
      <c r="M78" s="12"/>
    </row>
    <row r="79" spans="1:13" x14ac:dyDescent="0.25">
      <c r="B79" t="s">
        <v>24</v>
      </c>
      <c r="I79" s="26">
        <f>SUM(J79:M79)</f>
        <v>0</v>
      </c>
      <c r="J79" s="12"/>
      <c r="K79" s="12"/>
      <c r="L79" s="12"/>
      <c r="M79" s="12"/>
    </row>
    <row r="80" spans="1:13" x14ac:dyDescent="0.25">
      <c r="B80" t="s">
        <v>25</v>
      </c>
      <c r="I80" s="26"/>
      <c r="J80" s="12"/>
      <c r="K80" s="12"/>
      <c r="L80" s="12"/>
      <c r="M80" s="12"/>
    </row>
    <row r="81" spans="1:13" x14ac:dyDescent="0.25">
      <c r="I81" s="23"/>
    </row>
    <row r="82" spans="1:13" ht="15.75" thickBot="1" x14ac:dyDescent="0.3">
      <c r="A82" s="11" t="s">
        <v>26</v>
      </c>
      <c r="B82" s="7"/>
      <c r="C82" s="7"/>
      <c r="D82" s="7"/>
      <c r="E82" s="7"/>
      <c r="F82" s="7"/>
      <c r="G82" s="7"/>
      <c r="H82" s="7"/>
      <c r="I82" s="27">
        <f t="shared" ref="I82:M82" si="3">SUM(I76:I81)</f>
        <v>5</v>
      </c>
      <c r="J82" s="13">
        <f t="shared" si="3"/>
        <v>2.5</v>
      </c>
      <c r="K82" s="13">
        <f t="shared" si="3"/>
        <v>2.5</v>
      </c>
      <c r="L82" s="13">
        <f t="shared" si="3"/>
        <v>0</v>
      </c>
      <c r="M82" s="13">
        <f t="shared" si="3"/>
        <v>0</v>
      </c>
    </row>
    <row r="83" spans="1:13" ht="15.75" thickTop="1" x14ac:dyDescent="0.25">
      <c r="I83" s="26"/>
      <c r="J83" s="12"/>
      <c r="K83" s="12"/>
      <c r="L83" s="12"/>
      <c r="M83" s="12"/>
    </row>
    <row r="84" spans="1:13" ht="15.75" thickBot="1" x14ac:dyDescent="0.3">
      <c r="A84" s="11" t="s">
        <v>27</v>
      </c>
      <c r="B84" s="7"/>
      <c r="C84" s="7"/>
      <c r="D84" s="7"/>
      <c r="E84" s="7"/>
      <c r="F84" s="7"/>
      <c r="G84" s="7"/>
      <c r="H84" s="7"/>
      <c r="I84" s="27">
        <f t="shared" ref="I84:M84" si="4">+I82+I73</f>
        <v>77.5</v>
      </c>
      <c r="J84" s="13">
        <f t="shared" si="4"/>
        <v>40</v>
      </c>
      <c r="K84" s="13">
        <f t="shared" si="4"/>
        <v>40</v>
      </c>
      <c r="L84" s="13">
        <f t="shared" si="4"/>
        <v>0</v>
      </c>
      <c r="M84" s="13">
        <f t="shared" si="4"/>
        <v>0</v>
      </c>
    </row>
    <row r="85" spans="1:13" ht="15.75" thickTop="1" x14ac:dyDescent="0.25">
      <c r="I85" s="23"/>
    </row>
    <row r="86" spans="1:13" x14ac:dyDescent="0.25">
      <c r="I86" s="23"/>
    </row>
    <row r="87" spans="1:13" ht="15.75" thickBot="1" x14ac:dyDescent="0.3">
      <c r="A87" s="11" t="s">
        <v>28</v>
      </c>
      <c r="B87" s="7"/>
      <c r="C87" s="7"/>
      <c r="D87" s="7"/>
      <c r="E87" s="7"/>
      <c r="F87" s="7"/>
      <c r="G87" s="7"/>
      <c r="H87" s="7"/>
      <c r="I87" s="27"/>
      <c r="J87" s="13">
        <v>40</v>
      </c>
      <c r="K87" s="13">
        <v>40</v>
      </c>
      <c r="L87" s="13">
        <v>40</v>
      </c>
      <c r="M87" s="13">
        <v>40</v>
      </c>
    </row>
    <row r="88" spans="1:13" ht="16.5" thickTop="1" thickBot="1" x14ac:dyDescent="0.3">
      <c r="A88" s="11" t="s">
        <v>29</v>
      </c>
      <c r="B88" s="7"/>
      <c r="C88" s="7"/>
      <c r="D88" s="7"/>
      <c r="E88" s="7"/>
      <c r="F88" s="7"/>
      <c r="G88" s="7"/>
      <c r="H88" s="7"/>
      <c r="I88" s="27"/>
      <c r="J88" s="13">
        <f>+J87-J84</f>
        <v>0</v>
      </c>
      <c r="K88" s="13">
        <f t="shared" ref="K88:M88" si="5">+K87-K84</f>
        <v>0</v>
      </c>
      <c r="L88" s="13">
        <f t="shared" si="5"/>
        <v>40</v>
      </c>
      <c r="M88" s="13">
        <f t="shared" si="5"/>
        <v>40</v>
      </c>
    </row>
    <row r="89" spans="1:13" ht="15.75" thickTop="1" x14ac:dyDescent="0.25"/>
  </sheetData>
  <protectedRanges>
    <protectedRange sqref="A8 A76:XFD81 L60:M66 F48:F49 F32 G24:G72 L26:M58 N9:XFD72 E23:E72 A9:B72 H9:I72 C9:G9 J59:M59 J67:M72 J9:M25" name="Range1"/>
    <protectedRange sqref="D10:D72" name="Range1_2"/>
    <protectedRange sqref="C15:C72" name="Range1_1_2"/>
    <protectedRange sqref="C10:C14" name="Range1_1_1_1"/>
    <protectedRange sqref="E10:G10 E11:E22 G11:G15 G17:G18 F11:F31 F50:F72 F33:F47" name="Range1_3_1"/>
    <protectedRange sqref="G16 G19:G23" name="Range1_4"/>
    <protectedRange sqref="J60:K66 J26:K58" name="Range1_5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H9:H72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D10:D72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topLeftCell="A9" workbookViewId="0">
      <selection activeCell="B16" sqref="B16:C23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39</v>
      </c>
      <c r="C2" s="21" t="s">
        <v>44</v>
      </c>
    </row>
    <row r="3" spans="2:3" x14ac:dyDescent="0.25">
      <c r="B3" s="18" t="s">
        <v>40</v>
      </c>
      <c r="C3" s="19" t="s">
        <v>45</v>
      </c>
    </row>
    <row r="4" spans="2:3" x14ac:dyDescent="0.25">
      <c r="B4" s="18" t="s">
        <v>46</v>
      </c>
      <c r="C4" s="19" t="s">
        <v>47</v>
      </c>
    </row>
    <row r="5" spans="2:3" x14ac:dyDescent="0.25">
      <c r="B5" s="18" t="s">
        <v>48</v>
      </c>
      <c r="C5" s="19" t="s">
        <v>49</v>
      </c>
    </row>
    <row r="6" spans="2:3" x14ac:dyDescent="0.25">
      <c r="B6" s="18" t="s">
        <v>41</v>
      </c>
      <c r="C6" s="19" t="s">
        <v>50</v>
      </c>
    </row>
    <row r="7" spans="2:3" x14ac:dyDescent="0.25">
      <c r="B7" s="18" t="s">
        <v>51</v>
      </c>
      <c r="C7" s="19" t="s">
        <v>52</v>
      </c>
    </row>
    <row r="8" spans="2:3" x14ac:dyDescent="0.25">
      <c r="B8" s="18" t="s">
        <v>42</v>
      </c>
      <c r="C8" s="19" t="s">
        <v>53</v>
      </c>
    </row>
    <row r="9" spans="2:3" x14ac:dyDescent="0.25">
      <c r="B9" s="18" t="s">
        <v>43</v>
      </c>
      <c r="C9" s="19" t="s">
        <v>54</v>
      </c>
    </row>
    <row r="10" spans="2:3" x14ac:dyDescent="0.25">
      <c r="B10" s="18" t="s">
        <v>72</v>
      </c>
      <c r="C10" s="19" t="s">
        <v>73</v>
      </c>
    </row>
    <row r="11" spans="2:3" x14ac:dyDescent="0.25">
      <c r="B11" s="18" t="s">
        <v>55</v>
      </c>
      <c r="C11" s="19" t="s">
        <v>56</v>
      </c>
    </row>
    <row r="15" spans="2:3" ht="16.5" x14ac:dyDescent="0.25">
      <c r="B15" s="21" t="s">
        <v>57</v>
      </c>
      <c r="C15" s="21" t="s">
        <v>44</v>
      </c>
    </row>
    <row r="16" spans="2:3" x14ac:dyDescent="0.25">
      <c r="B16" s="20" t="s">
        <v>30</v>
      </c>
      <c r="C16" s="19" t="s">
        <v>58</v>
      </c>
    </row>
    <row r="17" spans="2:3" x14ac:dyDescent="0.25">
      <c r="B17" s="20" t="s">
        <v>59</v>
      </c>
      <c r="C17" s="19" t="s">
        <v>60</v>
      </c>
    </row>
    <row r="18" spans="2:3" x14ac:dyDescent="0.25">
      <c r="B18" s="20" t="s">
        <v>38</v>
      </c>
      <c r="C18" s="19" t="s">
        <v>61</v>
      </c>
    </row>
    <row r="19" spans="2:3" x14ac:dyDescent="0.25">
      <c r="B19" s="20" t="s">
        <v>18</v>
      </c>
      <c r="C19" s="19" t="s">
        <v>62</v>
      </c>
    </row>
    <row r="20" spans="2:3" x14ac:dyDescent="0.25">
      <c r="B20" s="20" t="s">
        <v>31</v>
      </c>
      <c r="C20" s="19" t="s">
        <v>63</v>
      </c>
    </row>
    <row r="21" spans="2:3" x14ac:dyDescent="0.25">
      <c r="B21" s="20" t="s">
        <v>32</v>
      </c>
      <c r="C21" s="19" t="s">
        <v>64</v>
      </c>
    </row>
    <row r="22" spans="2:3" x14ac:dyDescent="0.25">
      <c r="B22" s="20" t="s">
        <v>65</v>
      </c>
      <c r="C22" s="19" t="s">
        <v>66</v>
      </c>
    </row>
    <row r="23" spans="2:3" x14ac:dyDescent="0.25">
      <c r="B23" s="20" t="s">
        <v>37</v>
      </c>
      <c r="C23" s="19" t="s">
        <v>67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33</v>
      </c>
    </row>
    <row r="2" spans="1:1" s="15" customFormat="1" ht="15.75" x14ac:dyDescent="0.25">
      <c r="A2" s="16"/>
    </row>
    <row r="3" spans="1:1" s="15" customFormat="1" ht="15.75" x14ac:dyDescent="0.25">
      <c r="A3" s="14" t="s">
        <v>70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34</v>
      </c>
    </row>
    <row r="8" spans="1:1" ht="15.75" x14ac:dyDescent="0.25">
      <c r="A8" s="14" t="s">
        <v>71</v>
      </c>
    </row>
    <row r="9" spans="1:1" ht="15.75" x14ac:dyDescent="0.25">
      <c r="A9" s="14" t="s">
        <v>69</v>
      </c>
    </row>
    <row r="10" spans="1:1" ht="15.75" x14ac:dyDescent="0.25">
      <c r="A10" s="14" t="s">
        <v>35</v>
      </c>
    </row>
    <row r="11" spans="1:1" ht="15.75" x14ac:dyDescent="0.25">
      <c r="A11" s="14" t="s">
        <v>36</v>
      </c>
    </row>
    <row r="12" spans="1:1" ht="15.75" x14ac:dyDescent="0.25">
      <c r="A12" s="14" t="s">
        <v>68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Sandeep Chavda</cp:lastModifiedBy>
  <cp:revision/>
  <dcterms:created xsi:type="dcterms:W3CDTF">2015-06-05T18:17:20Z</dcterms:created>
  <dcterms:modified xsi:type="dcterms:W3CDTF">2026-05-04T07:21:50Z</dcterms:modified>
  <cp:category/>
  <cp:contentStatus/>
</cp:coreProperties>
</file>