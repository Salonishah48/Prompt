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37648082-7D9B-4533-92EE-F0CB15D3A7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WIP!$A$7:$O$12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I13" i="1"/>
  <c r="J44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2" i="1"/>
  <c r="I11" i="1"/>
  <c r="I10" i="1"/>
  <c r="K44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I9" i="1"/>
  <c r="I44" i="1" s="1"/>
  <c r="I55" i="1" s="1"/>
  <c r="L44" i="1"/>
  <c r="M44" i="1"/>
  <c r="N44" i="1"/>
  <c r="N55" i="1"/>
  <c r="N59" i="1"/>
  <c r="D13" i="3"/>
  <c r="C13" i="3"/>
  <c r="I51" i="1"/>
  <c r="A16" i="3"/>
  <c r="A14" i="3"/>
  <c r="I50" i="1"/>
  <c r="I49" i="1"/>
  <c r="I48" i="1"/>
  <c r="I47" i="1"/>
  <c r="J53" i="1"/>
  <c r="O44" i="1"/>
  <c r="O53" i="1"/>
  <c r="M53" i="1"/>
  <c r="L53" i="1"/>
  <c r="K53" i="1"/>
  <c r="L6" i="1"/>
  <c r="M6" i="1" s="1"/>
  <c r="N6" i="1" s="1"/>
  <c r="O55" i="1"/>
  <c r="M55" i="1"/>
  <c r="M59" i="1"/>
  <c r="I53" i="1"/>
  <c r="L55" i="1"/>
  <c r="L59" i="1"/>
  <c r="J55" i="1"/>
  <c r="J59" i="1"/>
  <c r="K55" i="1"/>
  <c r="K59" i="1" s="1"/>
</calcChain>
</file>

<file path=xl/sharedStrings.xml><?xml version="1.0" encoding="utf-8"?>
<sst xmlns="http://schemas.openxmlformats.org/spreadsheetml/2006/main" count="215" uniqueCount="109">
  <si>
    <t>Work in Progress Report</t>
  </si>
  <si>
    <t xml:space="preserve">Name: </t>
  </si>
  <si>
    <t>Malay Kulabkar</t>
  </si>
  <si>
    <t>Title:</t>
  </si>
  <si>
    <t>Supervisor</t>
  </si>
  <si>
    <t>Manager Name:</t>
  </si>
  <si>
    <t>Week starting on --&gt;&gt;</t>
  </si>
  <si>
    <t>Future</t>
  </si>
  <si>
    <t>Sr #</t>
  </si>
  <si>
    <t>Client Name</t>
  </si>
  <si>
    <t>Project (sub-client)</t>
  </si>
  <si>
    <t>Work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</si>
  <si>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</si>
  <si>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</si>
  <si>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</si>
  <si>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</si>
  <si>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</si>
  <si>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</si>
  <si>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</si>
  <si>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</si>
  <si>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</si>
  <si>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</si>
  <si>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Not Started</t>
  </si>
  <si>
    <t>Weekly call</t>
  </si>
  <si>
    <t>Admin</t>
  </si>
  <si>
    <t>PHB Services Corporation</t>
  </si>
  <si>
    <t>Doctor Linda HSU A PC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</si>
  <si>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</si>
  <si>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</si>
  <si>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</si>
  <si>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</si>
  <si>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</si>
  <si>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</si>
  <si>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</si>
  <si>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</si>
  <si>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</si>
  <si>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</si>
  <si>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In Preparation</t>
  </si>
  <si>
    <t>In Review</t>
  </si>
  <si>
    <t>Points to be considered while updating the tracker</t>
  </si>
  <si>
    <t>Weeks should start from column "J" - Don't change sequence.</t>
  </si>
  <si>
    <t>Always use Sr. no. when inputting data (If there is no data, don't write sr. no).</t>
  </si>
  <si>
    <t>Select work done from the drop-down list only - Don't write manually</t>
  </si>
  <si>
    <t>Don't leave any row blank in between (if require you can add a row in between)</t>
  </si>
  <si>
    <t>Don’t add or delete any column</t>
  </si>
  <si>
    <t>Work Item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</si>
  <si>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</si>
  <si>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</si>
  <si>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</si>
  <si>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</si>
  <si>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</si>
  <si>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</si>
  <si>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</si>
  <si>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Bookkeeping Management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</si>
  <si>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</si>
  <si>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</si>
  <si>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</si>
  <si>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</si>
  <si>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</si>
  <si>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</si>
  <si>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</si>
  <si>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</si>
  <si>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</si>
  <si>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</si>
  <si>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Call, Internal Discussions, Client Emails, Document Upload, Workflow updates Etc.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</si>
  <si>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</si>
  <si>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</si>
  <si>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</si>
  <si>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</si>
  <si>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</si>
  <si>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</si>
  <si>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</si>
  <si>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</si>
  <si>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</si>
  <si>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</si>
  <si>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</si>
  <si>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</si>
  <si>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</si>
  <si>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</si>
  <si>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Anantkumar Suthar</t>
  </si>
  <si>
    <t>Advanced Accounting &amp; Tax Solutions</t>
  </si>
  <si>
    <t>Week 5</t>
  </si>
  <si>
    <t>Simply Me Skin Care LLC</t>
  </si>
  <si>
    <t>Chello's Restaurant Supply</t>
  </si>
  <si>
    <t>Roshanak Nasr O.D. A Professional Corporation</t>
  </si>
  <si>
    <t>Camfel Productions Inc</t>
  </si>
  <si>
    <t>Dream Digital LLC</t>
  </si>
  <si>
    <t>Mail+Canopy Checking</t>
  </si>
  <si>
    <t>Zacatecas Imports Inc</t>
  </si>
  <si>
    <t>G &amp; A Fine Wood Working Interiors</t>
  </si>
  <si>
    <t>AJM Hearing Care Services</t>
  </si>
  <si>
    <t>Beyond Steel, Inc.</t>
  </si>
  <si>
    <t>Keywest Auto Collision Center, Inc</t>
  </si>
  <si>
    <t>Keywest Truck Collision Center, Inc</t>
  </si>
  <si>
    <t>Rabesa Mexican Products Corporation</t>
  </si>
  <si>
    <t>Sincon Corp</t>
  </si>
  <si>
    <t>Precise Restoration LLC</t>
  </si>
  <si>
    <t>Roxford Transport Inc</t>
  </si>
  <si>
    <t>Happy Camper Heating and Air</t>
  </si>
  <si>
    <t>La Michoacana Premium de New Hall</t>
  </si>
  <si>
    <t>Glass LA Design Inc</t>
  </si>
  <si>
    <t>Hacienda Franco LLC</t>
  </si>
  <si>
    <t>Legado Management</t>
  </si>
  <si>
    <t>Marco Construction Inc.</t>
  </si>
  <si>
    <t>MG Legacy International LLC</t>
  </si>
  <si>
    <t>SCSI Media</t>
  </si>
  <si>
    <t xml:space="preserve">Southern CA School of Interpretation </t>
  </si>
  <si>
    <t>Simply Me Med Spa</t>
  </si>
  <si>
    <t>Reliable Recycling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</si>
</sst>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b/>
      <sz val="11"/>
      <color theme="1"/>
      <name val="Segoe UI"/>
      <family val="2"/>
    </font>
    <font>
      <sz val="11"/>
      <color rgb="FF000000"/>
      <name val="Calibri"/>
      <family val="2"/>
    </font>
    <font>
      <sz val="11"/>
      <color rgb="FF222222"/>
      <name val="Zoho_Puvi_Regula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4" fontId="0" fillId="3" borderId="0" xfId="0" applyNumberFormat="1" applyFill="1"/>
    <xf numFmtId="0" fontId="0" fillId="4" borderId="0" xfId="0" applyFill="1"/>
    <xf numFmtId="0" fontId="2" fillId="0" borderId="0" xfId="0" applyFont="1"/>
    <xf numFmtId="43" fontId="1" fillId="0" borderId="0" xfId="1" applyFont="1"/>
    <xf numFmtId="0" fontId="0" fillId="5" borderId="0" xfId="0" applyFill="1"/>
    <xf numFmtId="0" fontId="1" fillId="4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0" borderId="0" xfId="0" applyFont="1"/>
    <xf numFmtId="0" fontId="7" fillId="7" borderId="3" xfId="0" applyFont="1" applyFill="1" applyBorder="1" applyAlignment="1">
      <alignment horizontal="left" vertical="center" wrapText="1"/>
    </xf>
    <xf numFmtId="0" fontId="1" fillId="0" borderId="3" xfId="0" applyFont="1" applyBorder="1"/>
    <xf numFmtId="0" fontId="0" fillId="0" borderId="3" xfId="0" applyBorder="1"/>
    <xf numFmtId="0" fontId="8" fillId="0" borderId="3" xfId="0" applyFont="1" applyBorder="1"/>
    <xf numFmtId="0" fontId="1" fillId="0" borderId="3" xfId="0" applyFont="1" applyBorder="1" applyAlignment="1">
      <alignment horizontal="left"/>
    </xf>
    <xf numFmtId="2" fontId="0" fillId="0" borderId="0" xfId="1" applyNumberFormat="1" applyFont="1"/>
    <xf numFmtId="2" fontId="0" fillId="0" borderId="0" xfId="0" applyNumberFormat="1"/>
    <xf numFmtId="14" fontId="1" fillId="0" borderId="0" xfId="0" applyNumberFormat="1" applyFont="1"/>
    <xf numFmtId="2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zoomScale="80" zoomScaleNormal="80" workbookViewId="0">
      <pane xSplit="2" ySplit="8" topLeftCell="D38" activePane="bottomRight" state="frozen"/>
      <selection pane="topRight" activeCell="C1" sqref="C1"/>
      <selection pane="bottomLeft" activeCell="A7" sqref="A7"/>
      <selection pane="bottomRight" activeCell="H21" sqref="H21"/>
    </sheetView>
  </sheetViews>
  <sheetFormatPr defaultRowHeight="15"/>
  <cols>
    <col min="1" max="1" width="28.85546875" bestFit="1" customWidth="1"/>
    <col min="2" max="2" width="38" customWidth="1"/>
    <col min="3" max="3" width="33.140625" customWidth="1"/>
    <col min="4" max="4" width="31.85546875" customWidth="1"/>
    <col min="5" max="5" width="18.28515625" customWidth="1"/>
    <col min="6" max="6" width="11.7109375" customWidth="1"/>
    <col min="7" max="7" width="13.140625" customWidth="1"/>
    <col min="8" max="8" width="17.5703125" customWidth="1"/>
    <col min="9" max="9" width="11.28515625" customWidth="1"/>
    <col min="10" max="10" width="13" customWidth="1"/>
    <col min="11" max="11" width="13.7109375" bestFit="1" customWidth="1"/>
    <col min="12" max="12" width="15.5703125" customWidth="1"/>
    <col min="13" max="13" width="16.42578125" customWidth="1"/>
    <col min="14" max="14" width="13.7109375" customWidth="1"/>
  </cols>
  <sheetData>
    <row r="1" spans="1:15">
      <c r="A1" s="1" t="s">
        <v>0</v>
      </c>
      <c r="H1" s="13"/>
    </row>
    <row r="2" spans="1:15">
      <c r="A2" s="1" t="s">
        <v>1</v>
      </c>
      <c r="B2" s="11" t="s">
        <v>2</v>
      </c>
      <c r="C2" s="11"/>
      <c r="H2" s="1"/>
      <c r="I2" s="1"/>
      <c r="J2" s="12"/>
      <c r="K2" s="12"/>
      <c r="L2" s="12"/>
      <c r="M2" s="12"/>
      <c r="N2" s="12"/>
    </row>
    <row r="3" spans="1:15">
      <c r="A3" s="1" t="s">
        <v>3</v>
      </c>
      <c r="B3" s="11" t="s">
        <v>4</v>
      </c>
      <c r="C3" s="11"/>
      <c r="H3" s="1"/>
      <c r="I3" s="1"/>
      <c r="J3" s="12"/>
      <c r="K3" s="12"/>
      <c r="L3" s="12"/>
      <c r="M3" s="12"/>
      <c r="N3" s="12"/>
    </row>
    <row r="4" spans="1:15">
      <c r="A4" s="1" t="s">
        <v>5</v>
      </c>
      <c r="B4" s="11" t="s">
        <v>79</v>
      </c>
      <c r="C4" s="11"/>
      <c r="H4" s="1"/>
      <c r="I4" s="1"/>
      <c r="J4" s="12"/>
      <c r="K4" s="12"/>
      <c r="L4" s="12"/>
      <c r="M4" s="12"/>
      <c r="N4" s="12"/>
    </row>
    <row r="5" spans="1:15">
      <c r="A5" s="1"/>
      <c r="B5" s="11"/>
      <c r="C5" s="11"/>
    </row>
    <row r="6" spans="1:15">
      <c r="I6" s="8" t="s">
        <v>6</v>
      </c>
      <c r="J6" s="9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5" ht="30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81</v>
      </c>
      <c r="O7" s="4" t="s">
        <v>7</v>
      </c>
    </row>
    <row r="8" spans="1:15">
      <c r="A8" s="7" t="s">
        <v>21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1:15">
      <c r="A9">
        <v>1</v>
      </c>
      <c r="B9" t="s">
        <v>80</v>
      </c>
      <c r="C9" s="21" t="s">
        <v>84</v>
      </c>
      <c r="D9" t="s">
        <v>55</v>
      </c>
      <c r="E9" s="2">
        <v>46146</v>
      </c>
      <c r="F9" s="2"/>
      <c r="G9" s="2"/>
      <c r="H9" t="s">
        <v>22</v>
      </c>
      <c r="I9" s="27">
        <f>SUM(J9:M9)</f>
        <v>3.5</v>
      </c>
      <c r="J9" s="27">
        <v>3.5</v>
      </c>
      <c r="K9" s="27"/>
      <c r="L9" s="28"/>
      <c r="M9" s="28"/>
      <c r="N9" s="28"/>
      <c r="O9" s="28"/>
    </row>
    <row r="10" spans="1:15">
      <c r="A10">
        <f t="shared" ref="A10:A42" si="0">A9+1</f>
        <v>2</v>
      </c>
      <c r="B10" t="s">
        <v>80</v>
      </c>
      <c r="C10" s="21" t="s">
        <v>88</v>
      </c>
      <c r="D10" t="s">
        <v>55</v>
      </c>
      <c r="E10" s="2">
        <v>46146</v>
      </c>
      <c r="F10" s="2"/>
      <c r="G10" s="2"/>
      <c r="H10" t="s">
        <v>22</v>
      </c>
      <c r="I10" s="27">
        <f t="shared" ref="I10:I26" si="1">SUM(J10:M10)</f>
        <v>3.5</v>
      </c>
      <c r="J10" s="27">
        <v>3.5</v>
      </c>
      <c r="K10" s="27"/>
      <c r="L10" s="28"/>
      <c r="M10" s="28"/>
      <c r="N10" s="28"/>
      <c r="O10" s="28"/>
    </row>
    <row r="11" spans="1:15">
      <c r="A11">
        <f t="shared" si="0"/>
        <v>3</v>
      </c>
      <c r="B11" t="s">
        <v>80</v>
      </c>
      <c r="C11" s="21" t="s">
        <v>89</v>
      </c>
      <c r="D11" t="s">
        <v>55</v>
      </c>
      <c r="E11" s="2">
        <v>46146</v>
      </c>
      <c r="F11" s="2"/>
      <c r="G11" s="2"/>
      <c r="H11" t="s">
        <v>22</v>
      </c>
      <c r="I11" s="27">
        <f t="shared" si="1"/>
        <v>1</v>
      </c>
      <c r="J11" s="27">
        <v>1</v>
      </c>
      <c r="K11" s="27"/>
      <c r="L11" s="28"/>
      <c r="M11" s="28"/>
      <c r="N11" s="27"/>
      <c r="O11" s="28"/>
    </row>
    <row r="12" spans="1:15">
      <c r="A12">
        <f t="shared" si="0"/>
        <v>4</v>
      </c>
      <c r="B12" t="s">
        <v>80</v>
      </c>
      <c r="C12" s="21" t="s">
        <v>23</v>
      </c>
      <c r="D12" t="s">
        <v>63</v>
      </c>
      <c r="E12" s="2">
        <v>46147</v>
      </c>
      <c r="F12" s="2"/>
      <c r="G12" s="2"/>
      <c r="H12" t="s">
        <v>22</v>
      </c>
      <c r="I12" s="27">
        <f t="shared" si="1"/>
        <v>1</v>
      </c>
      <c r="J12" s="27">
        <v>1</v>
      </c>
      <c r="K12" s="27"/>
      <c r="L12" s="28"/>
      <c r="M12" s="28"/>
      <c r="N12" s="27"/>
      <c r="O12" s="28"/>
    </row>
    <row r="13" spans="1:15">
      <c r="A13">
        <f t="shared" si="0"/>
        <v>5</v>
      </c>
      <c r="B13" t="s">
        <v>80</v>
      </c>
      <c r="C13" s="21" t="s">
        <v>90</v>
      </c>
      <c r="D13" t="s">
        <v>55</v>
      </c>
      <c r="E13" s="2">
        <v>46147</v>
      </c>
      <c r="F13" s="2"/>
      <c r="G13" s="2"/>
      <c r="H13" t="s">
        <v>22</v>
      </c>
      <c r="I13" s="27">
        <f>SUM(J13:M13)</f>
        <v>3</v>
      </c>
      <c r="J13" s="27">
        <v>3</v>
      </c>
      <c r="K13" s="27"/>
      <c r="L13" s="28"/>
      <c r="M13" s="28"/>
      <c r="N13" s="27"/>
      <c r="O13" s="28"/>
    </row>
    <row r="14" spans="1:15">
      <c r="A14">
        <f t="shared" si="0"/>
        <v>6</v>
      </c>
      <c r="B14" t="s">
        <v>80</v>
      </c>
      <c r="C14" s="21" t="s">
        <v>91</v>
      </c>
      <c r="D14" t="s">
        <v>55</v>
      </c>
      <c r="E14" s="2">
        <v>46147</v>
      </c>
      <c r="F14" s="2"/>
      <c r="G14" s="2"/>
      <c r="H14" t="s">
        <v>22</v>
      </c>
      <c r="I14" s="27">
        <f t="shared" si="1"/>
        <v>4</v>
      </c>
      <c r="J14" s="27">
        <v>4</v>
      </c>
      <c r="K14" s="27"/>
      <c r="L14" s="28"/>
      <c r="M14" s="28"/>
      <c r="N14" s="27"/>
      <c r="O14" s="28"/>
    </row>
    <row r="15" spans="1:15">
      <c r="A15">
        <f t="shared" si="0"/>
        <v>7</v>
      </c>
      <c r="B15" t="s">
        <v>80</v>
      </c>
      <c r="C15" s="21" t="s">
        <v>92</v>
      </c>
      <c r="D15" t="s">
        <v>55</v>
      </c>
      <c r="E15" s="2">
        <v>46148</v>
      </c>
      <c r="F15" s="2"/>
      <c r="G15" s="2"/>
      <c r="H15" t="s">
        <v>22</v>
      </c>
      <c r="I15" s="27">
        <f t="shared" si="1"/>
        <v>5</v>
      </c>
      <c r="J15" s="27">
        <v>5</v>
      </c>
      <c r="K15" s="27"/>
      <c r="L15" s="28"/>
      <c r="M15" s="28"/>
      <c r="N15" s="27"/>
      <c r="O15" s="28"/>
    </row>
    <row r="16" spans="1:15">
      <c r="A16">
        <f t="shared" si="0"/>
        <v>8</v>
      </c>
      <c r="B16" t="s">
        <v>80</v>
      </c>
      <c r="C16" s="21" t="s">
        <v>93</v>
      </c>
      <c r="D16" t="s">
        <v>55</v>
      </c>
      <c r="E16" s="2">
        <v>46148</v>
      </c>
      <c r="F16" s="2"/>
      <c r="G16" s="2"/>
      <c r="H16" t="s">
        <v>22</v>
      </c>
      <c r="I16" s="27">
        <f t="shared" si="1"/>
        <v>3</v>
      </c>
      <c r="J16" s="27">
        <v>3</v>
      </c>
      <c r="K16" s="27"/>
      <c r="L16" s="28"/>
      <c r="M16" s="28"/>
      <c r="N16" s="27"/>
      <c r="O16" s="28"/>
    </row>
    <row r="17" spans="1:15">
      <c r="A17">
        <f t="shared" si="0"/>
        <v>9</v>
      </c>
      <c r="B17" t="s">
        <v>80</v>
      </c>
      <c r="C17" s="21" t="s">
        <v>94</v>
      </c>
      <c r="D17" t="s">
        <v>55</v>
      </c>
      <c r="E17" s="2">
        <v>46149</v>
      </c>
      <c r="F17" s="2"/>
      <c r="G17" s="2"/>
      <c r="H17" t="s">
        <v>22</v>
      </c>
      <c r="I17" s="27">
        <f t="shared" si="1"/>
        <v>4</v>
      </c>
      <c r="J17" s="27">
        <v>4</v>
      </c>
      <c r="K17" s="27"/>
      <c r="L17" s="28"/>
      <c r="M17" s="28"/>
      <c r="N17" s="27"/>
      <c r="O17" s="28"/>
    </row>
    <row r="18" spans="1:15">
      <c r="A18">
        <f t="shared" si="0"/>
        <v>10</v>
      </c>
      <c r="B18" t="s">
        <v>80</v>
      </c>
      <c r="C18" s="21" t="s">
        <v>25</v>
      </c>
      <c r="D18" t="s">
        <v>55</v>
      </c>
      <c r="E18" s="2">
        <v>46149</v>
      </c>
      <c r="F18" s="2"/>
      <c r="G18" s="2"/>
      <c r="H18" t="s">
        <v>22</v>
      </c>
      <c r="I18" s="27">
        <f t="shared" si="1"/>
        <v>2</v>
      </c>
      <c r="J18" s="27">
        <v>2</v>
      </c>
      <c r="K18" s="27"/>
      <c r="L18" s="28"/>
      <c r="M18" s="28"/>
      <c r="N18" s="27"/>
      <c r="O18" s="28"/>
    </row>
    <row r="19" spans="1:15">
      <c r="A19">
        <f t="shared" si="0"/>
        <v>11</v>
      </c>
      <c r="B19" t="s">
        <v>80</v>
      </c>
      <c r="C19" s="21" t="s">
        <v>85</v>
      </c>
      <c r="D19" t="s">
        <v>55</v>
      </c>
      <c r="E19" s="2">
        <v>46149</v>
      </c>
      <c r="F19" s="2"/>
      <c r="G19" s="2"/>
      <c r="H19" t="s">
        <v>22</v>
      </c>
      <c r="I19" s="27">
        <f t="shared" si="1"/>
        <v>1</v>
      </c>
      <c r="J19" s="27">
        <v>1</v>
      </c>
      <c r="K19" s="27"/>
      <c r="L19" s="28"/>
      <c r="M19" s="28"/>
      <c r="N19" s="27"/>
      <c r="O19" s="28"/>
    </row>
    <row r="20" spans="1:15">
      <c r="A20">
        <f t="shared" si="0"/>
        <v>12</v>
      </c>
      <c r="B20" t="s">
        <v>80</v>
      </c>
      <c r="C20" s="21" t="s">
        <v>95</v>
      </c>
      <c r="D20" t="s">
        <v>55</v>
      </c>
      <c r="E20" s="2">
        <v>46149</v>
      </c>
      <c r="F20" s="2"/>
      <c r="G20" s="2"/>
      <c r="H20" t="s">
        <v>22</v>
      </c>
      <c r="I20" s="27">
        <f t="shared" si="1"/>
        <v>1</v>
      </c>
      <c r="J20" s="27">
        <v>1</v>
      </c>
      <c r="K20" s="27"/>
      <c r="L20" s="28"/>
      <c r="M20" s="28"/>
      <c r="N20" s="27"/>
      <c r="O20" s="28"/>
    </row>
    <row r="21" spans="1:15">
      <c r="A21">
        <f t="shared" si="0"/>
        <v>13</v>
      </c>
      <c r="B21" t="s">
        <v>80</v>
      </c>
      <c r="C21" s="21" t="s">
        <v>96</v>
      </c>
      <c r="D21" t="s">
        <v>55</v>
      </c>
      <c r="E21" s="2">
        <v>46150</v>
      </c>
      <c r="F21" s="2"/>
      <c r="G21" s="2"/>
      <c r="H21" t="s">
        <v>22</v>
      </c>
      <c r="I21" s="27">
        <f t="shared" si="1"/>
        <v>1</v>
      </c>
      <c r="J21" s="27">
        <v>1</v>
      </c>
      <c r="K21" s="27"/>
      <c r="L21" s="28"/>
      <c r="M21" s="28"/>
      <c r="N21" s="27"/>
      <c r="O21" s="28"/>
    </row>
    <row r="22" spans="1:15">
      <c r="A22">
        <f t="shared" si="0"/>
        <v>14</v>
      </c>
      <c r="B22" t="s">
        <v>80</v>
      </c>
      <c r="C22" s="21" t="s">
        <v>86</v>
      </c>
      <c r="D22" t="s">
        <v>55</v>
      </c>
      <c r="E22" s="2">
        <v>46150</v>
      </c>
      <c r="F22" s="2"/>
      <c r="G22" s="2"/>
      <c r="H22" t="s">
        <v>22</v>
      </c>
      <c r="I22" s="27">
        <f t="shared" si="1"/>
        <v>1.5</v>
      </c>
      <c r="J22" s="27">
        <v>1.5</v>
      </c>
      <c r="K22" s="27"/>
      <c r="L22" s="28"/>
      <c r="M22" s="28"/>
      <c r="N22" s="27"/>
      <c r="O22" s="28"/>
    </row>
    <row r="23" spans="1:15">
      <c r="A23">
        <f t="shared" si="0"/>
        <v>15</v>
      </c>
      <c r="B23" t="s">
        <v>80</v>
      </c>
      <c r="C23" s="21" t="s">
        <v>26</v>
      </c>
      <c r="D23" t="s">
        <v>55</v>
      </c>
      <c r="E23" s="2">
        <v>46150</v>
      </c>
      <c r="F23" s="2"/>
      <c r="G23" s="2"/>
      <c r="H23" t="s">
        <v>22</v>
      </c>
      <c r="I23" s="27">
        <f t="shared" si="1"/>
        <v>1.5</v>
      </c>
      <c r="J23" s="27">
        <v>1.5</v>
      </c>
      <c r="K23" s="27"/>
      <c r="L23" s="28"/>
      <c r="M23" s="28"/>
      <c r="N23" s="27"/>
      <c r="O23" s="28"/>
    </row>
    <row r="24" spans="1:15">
      <c r="A24">
        <f t="shared" si="0"/>
        <v>16</v>
      </c>
      <c r="B24" t="s">
        <v>80</v>
      </c>
      <c r="C24" s="21" t="s">
        <v>97</v>
      </c>
      <c r="D24" t="s">
        <v>55</v>
      </c>
      <c r="E24" s="2">
        <v>46150</v>
      </c>
      <c r="F24" s="2"/>
      <c r="G24" s="2"/>
      <c r="H24" t="s">
        <v>22</v>
      </c>
      <c r="I24" s="27">
        <f t="shared" si="1"/>
        <v>1.5</v>
      </c>
      <c r="J24" s="27">
        <v>1.5</v>
      </c>
      <c r="K24" s="27"/>
      <c r="L24" s="28"/>
      <c r="M24" s="28"/>
      <c r="N24" s="27"/>
      <c r="O24" s="28"/>
    </row>
    <row r="25" spans="1:15">
      <c r="A25">
        <f t="shared" si="0"/>
        <v>17</v>
      </c>
      <c r="B25" t="s">
        <v>80</v>
      </c>
      <c r="C25" s="21" t="s">
        <v>23</v>
      </c>
      <c r="D25" t="s">
        <v>63</v>
      </c>
      <c r="E25" s="2">
        <v>46150</v>
      </c>
      <c r="F25" s="2"/>
      <c r="G25" s="2"/>
      <c r="H25" t="s">
        <v>22</v>
      </c>
      <c r="I25" s="27">
        <f t="shared" si="1"/>
        <v>1</v>
      </c>
      <c r="J25" s="27">
        <v>1</v>
      </c>
      <c r="K25" s="27"/>
      <c r="L25" s="28"/>
      <c r="M25" s="28"/>
      <c r="N25" s="27"/>
      <c r="O25" s="28"/>
    </row>
    <row r="26" spans="1:15">
      <c r="A26">
        <f t="shared" si="0"/>
        <v>18</v>
      </c>
      <c r="B26" t="s">
        <v>80</v>
      </c>
      <c r="C26" s="21" t="s">
        <v>87</v>
      </c>
      <c r="D26" t="s">
        <v>63</v>
      </c>
      <c r="E26" s="2">
        <v>46150</v>
      </c>
      <c r="F26" s="2"/>
      <c r="G26" s="2"/>
      <c r="H26" t="s">
        <v>22</v>
      </c>
      <c r="I26" s="27">
        <f t="shared" si="1"/>
        <v>1.5</v>
      </c>
      <c r="J26" s="27">
        <v>1.5</v>
      </c>
      <c r="K26" s="27"/>
      <c r="L26" s="28"/>
      <c r="M26" s="28"/>
      <c r="N26" s="27"/>
      <c r="O26" s="28"/>
    </row>
    <row r="27" spans="1:15">
      <c r="A27">
        <f t="shared" si="0"/>
        <v>19</v>
      </c>
      <c r="B27" t="s">
        <v>80</v>
      </c>
      <c r="C27" s="21" t="s">
        <v>98</v>
      </c>
      <c r="D27" t="s">
        <v>55</v>
      </c>
      <c r="E27" s="2">
        <v>46153</v>
      </c>
      <c r="F27" s="2"/>
      <c r="G27" s="2"/>
      <c r="H27" t="s">
        <v>22</v>
      </c>
      <c r="I27" s="27">
        <f t="shared" ref="I27:I42" si="2">SUM(J27:P27)</f>
        <v>3</v>
      </c>
      <c r="J27" s="30"/>
      <c r="K27" s="30">
        <v>3</v>
      </c>
      <c r="L27" s="28"/>
      <c r="M27" s="28"/>
      <c r="N27" s="27"/>
      <c r="O27" s="28"/>
    </row>
    <row r="28" spans="1:15">
      <c r="A28">
        <f t="shared" si="0"/>
        <v>20</v>
      </c>
      <c r="B28" t="s">
        <v>80</v>
      </c>
      <c r="C28" s="21" t="s">
        <v>25</v>
      </c>
      <c r="D28" t="s">
        <v>55</v>
      </c>
      <c r="E28" s="2">
        <v>46153</v>
      </c>
      <c r="F28" s="2"/>
      <c r="G28" s="2"/>
      <c r="H28" t="s">
        <v>22</v>
      </c>
      <c r="I28" s="27">
        <f t="shared" si="2"/>
        <v>2.5</v>
      </c>
      <c r="J28" s="30"/>
      <c r="K28" s="30">
        <v>2.5</v>
      </c>
      <c r="L28" s="28"/>
      <c r="M28" s="28"/>
      <c r="N28" s="27"/>
      <c r="O28" s="28"/>
    </row>
    <row r="29" spans="1:15">
      <c r="A29">
        <f t="shared" si="0"/>
        <v>21</v>
      </c>
      <c r="B29" t="s">
        <v>80</v>
      </c>
      <c r="C29" s="21" t="s">
        <v>26</v>
      </c>
      <c r="D29" t="s">
        <v>55</v>
      </c>
      <c r="E29" s="2">
        <v>46153</v>
      </c>
      <c r="F29" s="31"/>
      <c r="G29" s="31"/>
      <c r="H29" t="s">
        <v>22</v>
      </c>
      <c r="I29" s="27">
        <f t="shared" si="2"/>
        <v>2.5</v>
      </c>
      <c r="J29" s="30"/>
      <c r="K29" s="30">
        <v>2.5</v>
      </c>
      <c r="L29" s="28"/>
      <c r="M29" s="28"/>
      <c r="N29" s="27"/>
      <c r="O29" s="28"/>
    </row>
    <row r="30" spans="1:15">
      <c r="A30">
        <f t="shared" si="0"/>
        <v>22</v>
      </c>
      <c r="B30" t="s">
        <v>80</v>
      </c>
      <c r="C30" s="21" t="s">
        <v>99</v>
      </c>
      <c r="D30" t="s">
        <v>55</v>
      </c>
      <c r="E30" s="2">
        <v>46154</v>
      </c>
      <c r="F30" s="2"/>
      <c r="G30" s="2"/>
      <c r="H30" t="s">
        <v>22</v>
      </c>
      <c r="I30" s="27">
        <f t="shared" si="2"/>
        <v>3</v>
      </c>
      <c r="J30" s="27"/>
      <c r="K30" s="27">
        <v>3</v>
      </c>
      <c r="L30" s="28"/>
      <c r="M30" s="28"/>
      <c r="N30" s="27"/>
      <c r="O30" s="28"/>
    </row>
    <row r="31" spans="1:15">
      <c r="A31">
        <f t="shared" si="0"/>
        <v>23</v>
      </c>
      <c r="B31" t="s">
        <v>80</v>
      </c>
      <c r="C31" s="21" t="s">
        <v>100</v>
      </c>
      <c r="D31" t="s">
        <v>55</v>
      </c>
      <c r="E31" s="2">
        <v>46154</v>
      </c>
      <c r="F31" s="2"/>
      <c r="G31" s="2"/>
      <c r="H31" t="s">
        <v>22</v>
      </c>
      <c r="I31" s="27">
        <f t="shared" si="2"/>
        <v>2.5</v>
      </c>
      <c r="J31" s="27"/>
      <c r="K31" s="27">
        <v>2.5</v>
      </c>
      <c r="L31" s="28"/>
      <c r="M31" s="28"/>
      <c r="N31" s="27"/>
      <c r="O31" s="28"/>
    </row>
    <row r="32" spans="1:15">
      <c r="A32">
        <f t="shared" si="0"/>
        <v>24</v>
      </c>
      <c r="B32" t="s">
        <v>80</v>
      </c>
      <c r="C32" s="21" t="s">
        <v>101</v>
      </c>
      <c r="D32" t="s">
        <v>55</v>
      </c>
      <c r="E32" s="2">
        <v>46154</v>
      </c>
      <c r="F32" s="2"/>
      <c r="G32" s="2"/>
      <c r="H32" t="s">
        <v>22</v>
      </c>
      <c r="I32" s="27">
        <f t="shared" si="2"/>
        <v>2.5</v>
      </c>
      <c r="J32" s="27"/>
      <c r="K32" s="27">
        <v>2.5</v>
      </c>
      <c r="L32" s="28"/>
      <c r="M32" s="28"/>
      <c r="N32" s="27"/>
      <c r="O32" s="28"/>
    </row>
    <row r="33" spans="1:15">
      <c r="A33">
        <f t="shared" si="0"/>
        <v>25</v>
      </c>
      <c r="B33" t="s">
        <v>80</v>
      </c>
      <c r="C33" s="32" t="s">
        <v>102</v>
      </c>
      <c r="D33" t="s">
        <v>55</v>
      </c>
      <c r="E33" s="2">
        <v>46155</v>
      </c>
      <c r="F33" s="2"/>
      <c r="G33" s="2"/>
      <c r="H33" t="s">
        <v>22</v>
      </c>
      <c r="I33" s="27">
        <f t="shared" si="2"/>
        <v>1</v>
      </c>
      <c r="J33" s="27"/>
      <c r="K33" s="27">
        <v>1</v>
      </c>
      <c r="L33" s="28"/>
      <c r="M33" s="28"/>
      <c r="N33" s="27"/>
      <c r="O33" s="28"/>
    </row>
    <row r="34" spans="1:15">
      <c r="A34">
        <f t="shared" si="0"/>
        <v>26</v>
      </c>
      <c r="B34" t="s">
        <v>80</v>
      </c>
      <c r="C34" s="33" t="s">
        <v>103</v>
      </c>
      <c r="D34" t="s">
        <v>55</v>
      </c>
      <c r="E34" s="2">
        <v>46155</v>
      </c>
      <c r="F34" s="2"/>
      <c r="G34" s="2"/>
      <c r="H34" t="s">
        <v>22</v>
      </c>
      <c r="I34" s="27">
        <f t="shared" si="2"/>
        <v>2.5</v>
      </c>
      <c r="J34" s="27"/>
      <c r="K34" s="27">
        <v>2.5</v>
      </c>
      <c r="L34" s="28"/>
      <c r="M34" s="28"/>
      <c r="N34" s="27"/>
      <c r="O34" s="28"/>
    </row>
    <row r="35" spans="1:15">
      <c r="A35">
        <f t="shared" si="0"/>
        <v>27</v>
      </c>
      <c r="B35" t="s">
        <v>80</v>
      </c>
      <c r="C35" s="21" t="s">
        <v>104</v>
      </c>
      <c r="D35" t="s">
        <v>55</v>
      </c>
      <c r="E35" s="2">
        <v>46155</v>
      </c>
      <c r="F35" s="2"/>
      <c r="G35" s="2"/>
      <c r="H35" t="s">
        <v>22</v>
      </c>
      <c r="I35" s="27">
        <f t="shared" si="2"/>
        <v>2.5</v>
      </c>
      <c r="J35" s="27"/>
      <c r="K35" s="27">
        <v>2.5</v>
      </c>
      <c r="L35" s="28"/>
      <c r="M35" s="28"/>
      <c r="N35" s="27"/>
      <c r="O35" s="28"/>
    </row>
    <row r="36" spans="1:15">
      <c r="A36">
        <f t="shared" si="0"/>
        <v>28</v>
      </c>
      <c r="B36" t="s">
        <v>80</v>
      </c>
      <c r="C36" s="33" t="s">
        <v>105</v>
      </c>
      <c r="D36" t="s">
        <v>55</v>
      </c>
      <c r="E36" s="2">
        <v>46155</v>
      </c>
      <c r="F36" s="2"/>
      <c r="G36" s="2"/>
      <c r="H36" t="s">
        <v>22</v>
      </c>
      <c r="I36" s="27">
        <f t="shared" si="2"/>
        <v>2</v>
      </c>
      <c r="J36" s="27"/>
      <c r="K36" s="27">
        <v>2</v>
      </c>
      <c r="L36" s="28"/>
      <c r="M36" s="28"/>
      <c r="N36" s="27"/>
      <c r="O36" s="28"/>
    </row>
    <row r="37" spans="1:15">
      <c r="A37">
        <f t="shared" si="0"/>
        <v>29</v>
      </c>
      <c r="B37" t="s">
        <v>80</v>
      </c>
      <c r="C37" s="21" t="s">
        <v>106</v>
      </c>
      <c r="D37" t="s">
        <v>55</v>
      </c>
      <c r="E37" s="2">
        <v>46156</v>
      </c>
      <c r="F37" s="2"/>
      <c r="G37" s="2"/>
      <c r="H37" t="s">
        <v>22</v>
      </c>
      <c r="I37" s="27">
        <f t="shared" si="2"/>
        <v>2</v>
      </c>
      <c r="J37" s="27"/>
      <c r="K37" s="27">
        <v>2</v>
      </c>
      <c r="L37" s="28"/>
      <c r="M37" s="28"/>
      <c r="N37" s="27"/>
      <c r="O37" s="28"/>
    </row>
    <row r="38" spans="1:15">
      <c r="A38">
        <f t="shared" si="0"/>
        <v>30</v>
      </c>
      <c r="B38" t="s">
        <v>80</v>
      </c>
      <c r="C38" s="21" t="s">
        <v>82</v>
      </c>
      <c r="D38" t="s">
        <v>55</v>
      </c>
      <c r="E38" s="2">
        <v>46156</v>
      </c>
      <c r="F38" s="2"/>
      <c r="G38" s="2"/>
      <c r="H38" t="s">
        <v>22</v>
      </c>
      <c r="I38" s="27">
        <f t="shared" si="2"/>
        <v>2</v>
      </c>
      <c r="J38" s="27"/>
      <c r="K38" s="27">
        <v>2</v>
      </c>
      <c r="L38" s="28"/>
      <c r="M38" s="28"/>
      <c r="N38" s="27"/>
      <c r="O38" s="28"/>
    </row>
    <row r="39" spans="1:15">
      <c r="A39">
        <f t="shared" si="0"/>
        <v>31</v>
      </c>
      <c r="B39" t="s">
        <v>80</v>
      </c>
      <c r="C39" s="21" t="s">
        <v>107</v>
      </c>
      <c r="D39" t="s">
        <v>55</v>
      </c>
      <c r="E39" s="2">
        <v>46156</v>
      </c>
      <c r="F39" s="2"/>
      <c r="G39" s="2"/>
      <c r="H39" t="s">
        <v>22</v>
      </c>
      <c r="I39" s="27">
        <f t="shared" si="2"/>
        <v>2</v>
      </c>
      <c r="J39" s="27"/>
      <c r="K39" s="27">
        <v>2</v>
      </c>
      <c r="L39" s="28"/>
      <c r="M39" s="28"/>
      <c r="N39" s="27"/>
      <c r="O39" s="28"/>
    </row>
    <row r="40" spans="1:15">
      <c r="A40">
        <f t="shared" si="0"/>
        <v>32</v>
      </c>
      <c r="B40" t="s">
        <v>80</v>
      </c>
      <c r="C40" s="21" t="s">
        <v>83</v>
      </c>
      <c r="D40" t="s">
        <v>55</v>
      </c>
      <c r="E40" s="2">
        <v>46156</v>
      </c>
      <c r="F40" s="2"/>
      <c r="G40" s="29"/>
      <c r="H40" t="s">
        <v>22</v>
      </c>
      <c r="I40" s="27">
        <f t="shared" si="2"/>
        <v>2</v>
      </c>
      <c r="J40" s="27"/>
      <c r="K40" s="27">
        <v>2</v>
      </c>
      <c r="L40" s="28"/>
      <c r="M40" s="28"/>
      <c r="N40" s="27"/>
      <c r="O40" s="28"/>
    </row>
    <row r="41" spans="1:15">
      <c r="A41">
        <f t="shared" si="0"/>
        <v>33</v>
      </c>
      <c r="B41" t="s">
        <v>80</v>
      </c>
      <c r="C41" s="21" t="s">
        <v>90</v>
      </c>
      <c r="D41" t="s">
        <v>55</v>
      </c>
      <c r="E41" s="2">
        <v>46157</v>
      </c>
      <c r="F41" s="2"/>
      <c r="G41" s="2"/>
      <c r="H41" t="s">
        <v>22</v>
      </c>
      <c r="I41" s="27">
        <f t="shared" si="2"/>
        <v>4</v>
      </c>
      <c r="J41" s="27"/>
      <c r="K41" s="27">
        <v>4</v>
      </c>
      <c r="L41" s="28"/>
      <c r="M41" s="28"/>
      <c r="N41" s="27"/>
      <c r="O41" s="28"/>
    </row>
    <row r="42" spans="1:15">
      <c r="A42">
        <f t="shared" si="0"/>
        <v>34</v>
      </c>
      <c r="B42" t="s">
        <v>80</v>
      </c>
      <c r="C42" s="21" t="s">
        <v>108</v>
      </c>
      <c r="D42" t="s">
        <v>55</v>
      </c>
      <c r="E42" s="2">
        <v>46157</v>
      </c>
      <c r="F42" s="2"/>
      <c r="G42" s="2"/>
      <c r="H42" t="s">
        <v>22</v>
      </c>
      <c r="I42" s="27">
        <f t="shared" si="2"/>
        <v>4</v>
      </c>
      <c r="J42" s="27"/>
      <c r="K42" s="27">
        <v>4</v>
      </c>
      <c r="L42" s="28"/>
      <c r="M42" s="28"/>
      <c r="N42" s="27"/>
      <c r="O42" s="28"/>
    </row>
    <row r="43" spans="1:15">
      <c r="C43" s="21"/>
      <c r="E43" s="2"/>
      <c r="F43" s="2"/>
      <c r="G43" s="2"/>
      <c r="I43" s="27"/>
      <c r="J43" s="27"/>
      <c r="K43" s="27"/>
      <c r="L43" s="28"/>
      <c r="M43" s="28"/>
      <c r="N43" s="27"/>
      <c r="O43" s="28"/>
    </row>
    <row r="44" spans="1:15" ht="15.75" thickBot="1">
      <c r="A44" s="14" t="s">
        <v>27</v>
      </c>
      <c r="B44" s="10"/>
      <c r="C44" s="10"/>
      <c r="D44" s="10"/>
      <c r="E44" s="10"/>
      <c r="F44" s="10"/>
      <c r="G44" s="10"/>
      <c r="H44" s="10"/>
      <c r="I44" s="16">
        <f>SUM(I8:I43)</f>
        <v>80</v>
      </c>
      <c r="J44" s="16">
        <f>SUM(J9:J43)</f>
        <v>40</v>
      </c>
      <c r="K44" s="16">
        <f>SUM(K9:K43)</f>
        <v>40</v>
      </c>
      <c r="L44" s="16">
        <f>SUM(L8:L12)</f>
        <v>0</v>
      </c>
      <c r="M44" s="16">
        <f>SUM(M8:M12)</f>
        <v>0</v>
      </c>
      <c r="N44" s="16">
        <f>SUM(N8:N12)</f>
        <v>0</v>
      </c>
      <c r="O44" s="16">
        <f>SUM(O8:O12)</f>
        <v>0</v>
      </c>
    </row>
    <row r="45" spans="1:15" ht="15.75" thickTop="1">
      <c r="I45" s="15"/>
      <c r="J45" s="15"/>
      <c r="K45" s="15"/>
      <c r="L45" s="15"/>
      <c r="M45" s="15"/>
      <c r="N45" s="15"/>
      <c r="O45" s="15"/>
    </row>
    <row r="46" spans="1:15">
      <c r="A46" s="1" t="s">
        <v>28</v>
      </c>
      <c r="I46" s="15"/>
      <c r="J46" s="15"/>
      <c r="K46" s="15"/>
      <c r="L46" s="15"/>
      <c r="M46" s="15"/>
      <c r="N46" s="15"/>
      <c r="O46" s="15"/>
    </row>
    <row r="47" spans="1:15">
      <c r="A47">
        <v>1</v>
      </c>
      <c r="I47" s="15">
        <f t="shared" ref="I47:I51" si="3">SUM(J47:O47)</f>
        <v>0</v>
      </c>
      <c r="J47" s="15">
        <v>0</v>
      </c>
      <c r="K47" s="15">
        <v>0</v>
      </c>
      <c r="L47" s="15">
        <v>0</v>
      </c>
      <c r="M47" s="15">
        <v>0</v>
      </c>
      <c r="N47" s="15"/>
      <c r="O47" s="15"/>
    </row>
    <row r="48" spans="1:15">
      <c r="A48">
        <v>2</v>
      </c>
      <c r="I48" s="15">
        <f t="shared" si="3"/>
        <v>0</v>
      </c>
      <c r="J48" s="15">
        <v>0</v>
      </c>
      <c r="K48" s="15"/>
      <c r="L48" s="15"/>
      <c r="M48" s="15"/>
      <c r="N48" s="15"/>
      <c r="O48" s="15"/>
    </row>
    <row r="49" spans="1:15">
      <c r="A49">
        <v>3</v>
      </c>
      <c r="I49" s="15">
        <f t="shared" si="3"/>
        <v>0</v>
      </c>
      <c r="J49" s="15"/>
      <c r="K49" s="15"/>
      <c r="L49" s="15"/>
      <c r="M49" s="15"/>
      <c r="N49" s="15"/>
      <c r="O49" s="15"/>
    </row>
    <row r="50" spans="1:15">
      <c r="A50">
        <v>4</v>
      </c>
      <c r="I50" s="15">
        <f t="shared" si="3"/>
        <v>0</v>
      </c>
      <c r="J50" s="15">
        <v>0</v>
      </c>
      <c r="K50" s="15"/>
      <c r="L50" s="15"/>
      <c r="M50" s="15"/>
      <c r="N50" s="15"/>
      <c r="O50" s="15"/>
    </row>
    <row r="51" spans="1:15">
      <c r="A51">
        <v>5</v>
      </c>
      <c r="I51" s="15">
        <f t="shared" si="3"/>
        <v>0</v>
      </c>
      <c r="J51" s="15">
        <v>0</v>
      </c>
      <c r="K51" s="15"/>
      <c r="L51" s="15"/>
      <c r="M51" s="15"/>
      <c r="N51" s="15"/>
      <c r="O51" s="15"/>
    </row>
    <row r="53" spans="1:15" ht="15.75" thickBot="1">
      <c r="A53" s="14" t="s">
        <v>33</v>
      </c>
      <c r="B53" s="10"/>
      <c r="C53" s="10"/>
      <c r="D53" s="10"/>
      <c r="E53" s="10"/>
      <c r="F53" s="10"/>
      <c r="G53" s="10"/>
      <c r="H53" s="10"/>
      <c r="I53" s="16">
        <f>SUM(I47:I52)</f>
        <v>0</v>
      </c>
      <c r="J53" s="16">
        <f>SUM(J47:J52)</f>
        <v>0</v>
      </c>
      <c r="K53" s="16">
        <f t="shared" ref="K53:O53" si="4">SUM(K47:K52)</f>
        <v>0</v>
      </c>
      <c r="L53" s="16">
        <f t="shared" si="4"/>
        <v>0</v>
      </c>
      <c r="M53" s="16">
        <f t="shared" si="4"/>
        <v>0</v>
      </c>
      <c r="N53" s="16"/>
      <c r="O53" s="16">
        <f t="shared" si="4"/>
        <v>0</v>
      </c>
    </row>
    <row r="54" spans="1:15" ht="15.75" thickTop="1">
      <c r="I54" s="15"/>
      <c r="J54" s="15"/>
      <c r="K54" s="15"/>
      <c r="L54" s="15"/>
      <c r="M54" s="15"/>
      <c r="N54" s="15"/>
      <c r="O54" s="15"/>
    </row>
    <row r="55" spans="1:15" ht="15.75" thickBot="1">
      <c r="A55" s="14" t="s">
        <v>34</v>
      </c>
      <c r="B55" s="10"/>
      <c r="C55" s="10"/>
      <c r="D55" s="10"/>
      <c r="E55" s="10"/>
      <c r="F55" s="10"/>
      <c r="G55" s="10"/>
      <c r="H55" s="10"/>
      <c r="I55" s="16">
        <f>+I53+I44</f>
        <v>80</v>
      </c>
      <c r="J55" s="16">
        <f t="shared" ref="J55:O55" si="5">+J53+J44</f>
        <v>40</v>
      </c>
      <c r="K55" s="16">
        <f t="shared" si="5"/>
        <v>40</v>
      </c>
      <c r="L55" s="16">
        <f t="shared" si="5"/>
        <v>0</v>
      </c>
      <c r="M55" s="16">
        <f t="shared" si="5"/>
        <v>0</v>
      </c>
      <c r="N55" s="16">
        <f t="shared" si="5"/>
        <v>0</v>
      </c>
      <c r="O55" s="16">
        <f t="shared" si="5"/>
        <v>0</v>
      </c>
    </row>
    <row r="56" spans="1:15" ht="15.75" thickTop="1"/>
    <row r="58" spans="1:15" ht="15.75" thickBot="1">
      <c r="A58" s="14" t="s">
        <v>35</v>
      </c>
      <c r="B58" s="10"/>
      <c r="C58" s="10"/>
      <c r="D58" s="10"/>
      <c r="E58" s="10"/>
      <c r="F58" s="10"/>
      <c r="G58" s="10"/>
      <c r="H58" s="10"/>
      <c r="I58" s="16"/>
      <c r="J58" s="16">
        <v>40</v>
      </c>
      <c r="K58" s="16">
        <v>40</v>
      </c>
      <c r="L58" s="16">
        <v>40</v>
      </c>
      <c r="M58" s="16">
        <v>40</v>
      </c>
      <c r="N58" s="16">
        <v>40</v>
      </c>
      <c r="O58" s="16"/>
    </row>
    <row r="59" spans="1:15" ht="16.5" thickTop="1" thickBot="1">
      <c r="A59" s="14" t="s">
        <v>36</v>
      </c>
      <c r="B59" s="10"/>
      <c r="C59" s="10"/>
      <c r="D59" s="10"/>
      <c r="E59" s="10"/>
      <c r="F59" s="10"/>
      <c r="G59" s="10"/>
      <c r="H59" s="10"/>
      <c r="I59" s="16"/>
      <c r="J59" s="16">
        <f>+J58-J55</f>
        <v>0</v>
      </c>
      <c r="K59" s="16">
        <f t="shared" ref="K59:N59" si="6">+K58-K55</f>
        <v>0</v>
      </c>
      <c r="L59" s="16">
        <f t="shared" si="6"/>
        <v>40</v>
      </c>
      <c r="M59" s="16">
        <f t="shared" si="6"/>
        <v>40</v>
      </c>
      <c r="N59" s="16">
        <f t="shared" si="6"/>
        <v>40</v>
      </c>
      <c r="O59" s="16"/>
    </row>
    <row r="60" spans="1:15" ht="15.75" thickTop="1"/>
    <row r="77" spans="2:2">
      <c r="B77" s="10"/>
    </row>
    <row r="80" spans="2:2">
      <c r="B80" t="s">
        <v>24</v>
      </c>
    </row>
    <row r="81" spans="2:2">
      <c r="B81" t="s">
        <v>29</v>
      </c>
    </row>
    <row r="82" spans="2:2">
      <c r="B82" t="s">
        <v>30</v>
      </c>
    </row>
    <row r="83" spans="2:2">
      <c r="B83" t="s">
        <v>31</v>
      </c>
    </row>
    <row r="84" spans="2:2">
      <c r="B84" t="s">
        <v>32</v>
      </c>
    </row>
    <row r="86" spans="2:2">
      <c r="B86" s="10"/>
    </row>
    <row r="88" spans="2:2">
      <c r="B88" s="10"/>
    </row>
    <row r="91" spans="2:2">
      <c r="B91" s="10"/>
    </row>
    <row r="92" spans="2:2">
      <c r="B92" s="10"/>
    </row>
  </sheetData>
  <protectedRanges>
    <protectedRange sqref="B80:B85 A8:XFD8 A47:A52 N9:XFD43 C47:XFD52 A9:A43" name="Range1"/>
    <protectedRange sqref="B45:B52 B54 B56:B57 B60:B76" name="Range1_1_1"/>
    <protectedRange sqref="I9:I26 I43" name="Range1_11"/>
    <protectedRange sqref="F9:H19 F43:H43 F20:G26 H20:H42" name="Range1_2_6"/>
    <protectedRange sqref="D9:D43" name="Range1_4_1_2"/>
    <protectedRange sqref="L9:M43" name="Range1_12"/>
    <protectedRange sqref="B9:B26 B43" name="Range1_1_1_1_2"/>
    <protectedRange sqref="J9:K26 J30:J42 J43:K43" name="Range1_4_1"/>
    <protectedRange sqref="E17:E20" name="Range1_1_4"/>
    <protectedRange sqref="E9:E16" name="Range1_3_1_1"/>
    <protectedRange sqref="E21:E26 E43" name="Range1_2_2_6"/>
    <protectedRange sqref="F29:G29 J27:K29 I29:I42" name="Range1_1"/>
    <protectedRange sqref="B27:B29" name="Range1_1_1_1"/>
    <protectedRange sqref="I27" name="Range1_5"/>
    <protectedRange sqref="E27:G27 C27 E28:E29" name="Range1_2_3"/>
    <protectedRange sqref="C28 F28:G28 I28" name="Range1_7_1"/>
    <protectedRange sqref="C29" name="Range1_2_4"/>
    <protectedRange sqref="G33 G30 C39:C40 C42 G38:G42" name="Range1_6"/>
    <protectedRange sqref="G34:G37 E30:F30 F32:G32 E31:E32 E33:F42" name="Range1_3_2"/>
    <protectedRange sqref="B30:B42" name="Range1_1_1_3"/>
    <protectedRange sqref="C30" name="Range1_2_2_1_1"/>
    <protectedRange sqref="C31 F31:G31" name="Range1_2_2_2_1"/>
    <protectedRange sqref="C32" name="Range1_2_2_3_1"/>
    <protectedRange sqref="C41" name="Range1_9_1"/>
    <protectedRange sqref="K30:K42" name="Range1_10"/>
  </protectedRanges>
  <autoFilter ref="A7:O12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A589A6-28AB-4C41-8EB3-B991B7ED6C20}">
          <x14:formula1>
            <xm:f>Status!$B$15:$B$22</xm:f>
          </x14:formula1>
          <xm:sqref>H9:H43</xm:sqref>
        </x14:dataValidation>
        <x14:dataValidation type="list" allowBlank="1" showInputMessage="1" showErrorMessage="1" xr:uid="{E7955644-9428-42B7-BF2A-DFC84F577576}">
          <x14:formula1>
            <xm:f>Status!$B$4:$B$12</xm:f>
          </x14:formula1>
          <xm:sqref>D9:D43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2"/>
  <sheetViews>
    <sheetView topLeftCell="A5" workbookViewId="0">
      <selection activeCell="B17" sqref="B17"/>
    </sheetView>
  </sheetViews>
  <sheetFormatPr defaultRowHeight="15"/>
  <cols>
    <col min="2" max="2" width="42.28515625" bestFit="1" customWidth="1"/>
    <col min="3" max="3" width="105" bestFit="1" customWidth="1"/>
  </cols>
  <sheetData>
    <row r="3" spans="2:3" ht="16.5">
      <c r="B3" s="22" t="s">
        <v>45</v>
      </c>
      <c r="C3" s="22" t="s">
        <v>46</v>
      </c>
    </row>
    <row r="4" spans="2:3">
      <c r="B4" s="23" t="s">
        <v>47</v>
      </c>
      <c r="C4" s="24" t="s">
        <v>48</v>
      </c>
    </row>
    <row r="5" spans="2:3">
      <c r="B5" s="23" t="s">
        <v>49</v>
      </c>
      <c r="C5" s="24" t="s">
        <v>50</v>
      </c>
    </row>
    <row r="6" spans="2:3">
      <c r="B6" s="23" t="s">
        <v>51</v>
      </c>
      <c r="C6" s="24" t="s">
        <v>52</v>
      </c>
    </row>
    <row r="7" spans="2:3">
      <c r="B7" s="23" t="s">
        <v>53</v>
      </c>
      <c r="C7" s="24" t="s">
        <v>54</v>
      </c>
    </row>
    <row r="8" spans="2:3">
      <c r="B8" s="23" t="s">
        <v>55</v>
      </c>
      <c r="C8" s="24" t="s">
        <v>56</v>
      </c>
    </row>
    <row r="9" spans="2:3">
      <c r="B9" s="23" t="s">
        <v>57</v>
      </c>
      <c r="C9" s="24" t="s">
        <v>58</v>
      </c>
    </row>
    <row r="10" spans="2:3">
      <c r="B10" s="23" t="s">
        <v>59</v>
      </c>
      <c r="C10" s="24" t="s">
        <v>60</v>
      </c>
    </row>
    <row r="11" spans="2:3">
      <c r="B11" s="23" t="s">
        <v>61</v>
      </c>
      <c r="C11" s="24" t="s">
        <v>62</v>
      </c>
    </row>
    <row r="12" spans="2:3">
      <c r="B12" s="23" t="s">
        <v>63</v>
      </c>
      <c r="C12" s="25" t="s">
        <v>64</v>
      </c>
    </row>
    <row r="14" spans="2:3" ht="16.5">
      <c r="B14" s="22" t="s">
        <v>65</v>
      </c>
      <c r="C14" s="22" t="s">
        <v>46</v>
      </c>
    </row>
    <row r="15" spans="2:3">
      <c r="B15" s="26" t="s">
        <v>22</v>
      </c>
      <c r="C15" s="24" t="s">
        <v>66</v>
      </c>
    </row>
    <row r="16" spans="2:3">
      <c r="B16" s="26" t="s">
        <v>67</v>
      </c>
      <c r="C16" s="24" t="s">
        <v>68</v>
      </c>
    </row>
    <row r="17" spans="2:3">
      <c r="B17" s="26" t="s">
        <v>69</v>
      </c>
      <c r="C17" s="24" t="s">
        <v>70</v>
      </c>
    </row>
    <row r="18" spans="2:3">
      <c r="B18" s="26" t="s">
        <v>37</v>
      </c>
      <c r="C18" s="24" t="s">
        <v>71</v>
      </c>
    </row>
    <row r="19" spans="2:3">
      <c r="B19" s="26" t="s">
        <v>38</v>
      </c>
      <c r="C19" s="24" t="s">
        <v>72</v>
      </c>
    </row>
    <row r="20" spans="2:3">
      <c r="B20" s="26" t="s">
        <v>73</v>
      </c>
      <c r="C20" s="24" t="s">
        <v>74</v>
      </c>
    </row>
    <row r="21" spans="2:3">
      <c r="B21" s="26" t="s">
        <v>75</v>
      </c>
      <c r="C21" s="24" t="s">
        <v>76</v>
      </c>
    </row>
    <row r="22" spans="2:3">
      <c r="B22" s="26" t="s">
        <v>77</v>
      </c>
      <c r="C22" s="24" t="s">
        <v>78</v>
      </c>
    </row>
  </sheetData>
  <protectedRanges>
    <protectedRange sqref="C12" name="Range1_1"/>
  </protectedRange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D16"/>
  <sheetViews>
    <sheetView workbookViewId="0">
      <selection activeCell="A10" sqref="A10"/>
    </sheetView>
  </sheetViews>
  <sheetFormatPr defaultRowHeight="15"/>
  <cols>
    <col min="1" max="1" width="79.7109375" bestFit="1" customWidth="1"/>
  </cols>
  <sheetData>
    <row r="1" spans="1:4" s="18" customFormat="1" ht="16.5" thickBot="1">
      <c r="A1" s="20" t="s">
        <v>39</v>
      </c>
    </row>
    <row r="2" spans="1:4" s="18" customFormat="1" ht="15.75">
      <c r="A2" s="19"/>
    </row>
    <row r="3" spans="1:4" ht="15.75">
      <c r="A3" s="17" t="s">
        <v>40</v>
      </c>
    </row>
    <row r="4" spans="1:4" ht="15.75">
      <c r="A4" s="17" t="s">
        <v>41</v>
      </c>
    </row>
    <row r="5" spans="1:4" ht="15.75">
      <c r="A5" s="17" t="s">
        <v>42</v>
      </c>
    </row>
    <row r="6" spans="1:4" ht="15.75">
      <c r="A6" s="17" t="s">
        <v>43</v>
      </c>
    </row>
    <row r="7" spans="1:4" ht="15.75">
      <c r="A7" s="17" t="s">
        <v>44</v>
      </c>
    </row>
    <row r="12" spans="1:4">
      <c r="C12">
        <v>60</v>
      </c>
      <c r="D12">
        <v>100</v>
      </c>
    </row>
    <row r="13" spans="1:4">
      <c r="C13">
        <f>10</f>
        <v>10</v>
      </c>
      <c r="D13">
        <f>D12*C13/C12</f>
        <v>16.666666666666668</v>
      </c>
    </row>
    <row r="14" spans="1:4">
      <c r="A14">
        <f>10/100</f>
        <v>0.1</v>
      </c>
    </row>
    <row r="16" spans="1:4">
      <c r="A16">
        <f>20/100</f>
        <v>0.2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Anantkumar Suthar</cp:lastModifiedBy>
  <cp:revision/>
  <dcterms:created xsi:type="dcterms:W3CDTF">2015-06-05T18:17:20Z</dcterms:created>
  <dcterms:modified xsi:type="dcterms:W3CDTF">2026-05-01T16:30:33Z</dcterms:modified>
  <cp:category/>
  <cp:contentStatus/>
</cp:coreProperties>
</file>