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Saloni Shah\"/>
    </mc:Choice>
  </mc:AlternateContent>
  <xr:revisionPtr revIDLastSave="0" documentId="13_ncr:1_{470B792C-26EC-45A1-B9F6-0F4D3B7E4D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WIP!$A$7:$J$7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I9" i="1"/>
  <c r="I21" i="1" l="1"/>
  <c r="I20" i="1"/>
  <c r="I19" i="1"/>
  <c r="I18" i="1"/>
  <c r="L24" i="1"/>
  <c r="L26" i="1" s="1"/>
  <c r="L30" i="1" s="1"/>
  <c r="L15" i="1"/>
  <c r="K24" i="1" l="1"/>
  <c r="K15" i="1"/>
  <c r="K26" i="1" l="1"/>
  <c r="K30" i="1" s="1"/>
  <c r="K6" i="1" l="1"/>
  <c r="L6" i="1" s="1"/>
  <c r="M6" i="1" s="1"/>
  <c r="I15" i="1" l="1"/>
  <c r="I24" i="1"/>
  <c r="I26" i="1" l="1"/>
  <c r="J15" i="1"/>
  <c r="J24" i="1"/>
  <c r="J26" i="1" l="1"/>
  <c r="J30" i="1" s="1"/>
</calcChain>
</file>

<file path=xl/sharedStrings.xml><?xml version="1.0" encoding="utf-8"?>
<sst xmlns="http://schemas.openxmlformats.org/spreadsheetml/2006/main" count="93" uniqueCount="76">
  <si>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</si>
  <si>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</si>
  <si>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</si>
  <si>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</si>
  <si>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</si>
  <si>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</si>
  <si>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</si>
  <si>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</si>
  <si>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</si>
  <si>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</si>
  <si>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</si>
  <si>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</si>
  <si>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</si>
  <si>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</si>
  <si>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</si>
  <si>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</si>
  <si>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</si>
  <si>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</si>
  <si>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</si>
  <si>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</si>
  <si>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</si>
  <si>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</si>
  <si>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</si>
  <si>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</si>
  <si>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</si>
  <si>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</si>
  <si>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</si>
  <si>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</si>
  <si>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</si>
  <si>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</si>
  <si>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</si>
  <si>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</si>
  <si>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</si>
  <si>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</si>
  <si>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</si>
  <si>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</si>
  <si>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</si>
  <si>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</si>
  <si>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</si>
  <si>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</si>
  <si>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</si>
  <si>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</si>
  <si>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</si>
  <si>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</si>
  <si>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</si>
  <si>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</si>
  <si>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</si>
  <si>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</si>
  <si>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</si>
  <si>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</si>
  <si>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</si>
  <si>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</si>
  <si>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</si>
  <si>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</si>
  <si>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</si>
  <si>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</si>
  <si>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</si>
  <si>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</si>
  <si>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</si>
  <si>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</si>
  <si>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</si>
  <si>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</si>
  <si>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</si>
  <si>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</si>
  <si>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</si>
  <si>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</si>
  <si>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</si>
  <si>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</si>
  <si>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</si>
  <si>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</si>
  <si>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</si>
  <si>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</si>
  <si>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Saloni Shah</t>
  </si>
  <si>
    <t>Kaksha Shah</t>
  </si>
  <si>
    <t>Senior</t>
  </si>
  <si>
    <t>Clark &amp; Sons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</si>
</sst>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Normal="100" workbookViewId="0">
      <pane xSplit="2" ySplit="7" topLeftCell="D8" activePane="bottomRight" state="frozen"/>
      <selection pane="topRight" activeCell="C1" sqref="C1"/>
      <selection pane="bottomLeft" activeCell="A7" sqref="A7"/>
      <selection pane="bottomRight" activeCell="K12" sqref="K12"/>
    </sheetView>
  </sheetViews>
  <sheetFormatPr defaultRowHeight="15" x14ac:dyDescent="0.25"/>
  <cols>
    <col min="1" max="1" width="15" customWidth="1"/>
    <col min="2" max="3" width="25.140625" customWidth="1"/>
    <col min="4" max="4" width="41.85546875" bestFit="1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3" width="10.7109375" bestFit="1" customWidth="1"/>
  </cols>
  <sheetData>
    <row r="1" spans="1:13" x14ac:dyDescent="0.25">
      <c r="A1" s="1" t="s">
        <v>0</v>
      </c>
      <c r="H1" s="10"/>
    </row>
    <row r="2" spans="1:13" x14ac:dyDescent="0.25">
      <c r="A2" s="1" t="s">
        <v>1</v>
      </c>
      <c r="B2" s="9" t="s">
        <v>73</v>
      </c>
      <c r="C2" s="9"/>
      <c r="H2" s="1"/>
      <c r="I2" s="1"/>
    </row>
    <row r="3" spans="1:13" x14ac:dyDescent="0.25">
      <c r="A3" s="1" t="s">
        <v>2</v>
      </c>
      <c r="B3" s="9" t="s">
        <v>74</v>
      </c>
      <c r="C3" s="9"/>
      <c r="H3" s="1"/>
      <c r="I3" s="1"/>
    </row>
    <row r="4" spans="1:13" x14ac:dyDescent="0.25">
      <c r="A4" s="1" t="s">
        <v>3</v>
      </c>
      <c r="B4" s="9" t="s">
        <v>72</v>
      </c>
      <c r="C4" s="9"/>
      <c r="H4" s="1"/>
      <c r="I4" s="1"/>
    </row>
    <row r="5" spans="1:13" x14ac:dyDescent="0.25">
      <c r="A5" s="1"/>
      <c r="B5" s="9"/>
      <c r="C5" s="9"/>
    </row>
    <row r="6" spans="1:13" x14ac:dyDescent="0.25">
      <c r="I6" s="7" t="s">
        <v>4</v>
      </c>
      <c r="J6" s="25">
        <v>46146</v>
      </c>
      <c r="K6" s="2">
        <f t="shared" ref="K6:M6" si="0">J6+7</f>
        <v>46153</v>
      </c>
      <c r="L6" s="2">
        <f t="shared" si="0"/>
        <v>46160</v>
      </c>
      <c r="M6" s="2">
        <f t="shared" si="0"/>
        <v>46167</v>
      </c>
    </row>
    <row r="7" spans="1:13" ht="30" x14ac:dyDescent="0.25">
      <c r="A7" s="3" t="s">
        <v>5</v>
      </c>
      <c r="B7" s="3" t="s">
        <v>6</v>
      </c>
      <c r="C7" s="3" t="s">
        <v>7</v>
      </c>
      <c r="D7" s="22" t="s">
        <v>39</v>
      </c>
      <c r="E7" s="3" t="s">
        <v>8</v>
      </c>
      <c r="F7" s="3" t="s">
        <v>9</v>
      </c>
      <c r="G7" s="3" t="s">
        <v>10</v>
      </c>
      <c r="H7" s="22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 spans="1:13" x14ac:dyDescent="0.25">
      <c r="A8" s="6" t="s">
        <v>17</v>
      </c>
      <c r="B8" s="4"/>
      <c r="C8" s="4"/>
      <c r="D8" s="22"/>
      <c r="E8" s="4"/>
      <c r="F8" s="4"/>
      <c r="G8" s="4"/>
      <c r="H8" s="22"/>
      <c r="I8" s="4"/>
      <c r="J8" s="5"/>
    </row>
    <row r="9" spans="1:13" x14ac:dyDescent="0.25">
      <c r="A9">
        <v>1</v>
      </c>
      <c r="B9" t="s">
        <v>75</v>
      </c>
      <c r="C9" t="s">
        <v>75</v>
      </c>
      <c r="D9" s="23" t="s">
        <v>41</v>
      </c>
      <c r="E9" s="2">
        <v>46082</v>
      </c>
      <c r="F9" s="2"/>
      <c r="G9" s="2"/>
      <c r="H9" s="23" t="s">
        <v>38</v>
      </c>
      <c r="I9" s="26">
        <f>SUM(J9:M9)</f>
        <v>32</v>
      </c>
      <c r="J9">
        <v>17</v>
      </c>
      <c r="K9">
        <v>15</v>
      </c>
    </row>
    <row r="10" spans="1:13" x14ac:dyDescent="0.25">
      <c r="A10">
        <v>2</v>
      </c>
      <c r="B10" t="s">
        <v>75</v>
      </c>
      <c r="C10" t="s">
        <v>75</v>
      </c>
      <c r="D10" s="23" t="s">
        <v>46</v>
      </c>
      <c r="E10" s="2">
        <v>46082</v>
      </c>
      <c r="F10" s="2"/>
      <c r="G10" s="2"/>
      <c r="H10" s="23" t="s">
        <v>38</v>
      </c>
      <c r="I10" s="26">
        <f>SUM(J10:M10)</f>
        <v>32</v>
      </c>
      <c r="J10">
        <v>16.5</v>
      </c>
      <c r="K10">
        <v>15.5</v>
      </c>
    </row>
    <row r="11" spans="1:13" x14ac:dyDescent="0.25">
      <c r="A11">
        <v>3</v>
      </c>
      <c r="B11" t="s">
        <v>75</v>
      </c>
      <c r="C11" t="s">
        <v>75</v>
      </c>
      <c r="D11" s="23" t="s">
        <v>51</v>
      </c>
      <c r="E11" s="2">
        <v>46082</v>
      </c>
      <c r="G11" s="2"/>
      <c r="H11" s="23" t="s">
        <v>38</v>
      </c>
      <c r="I11" s="26">
        <f>SUM(J11:M11)</f>
        <v>14</v>
      </c>
      <c r="J11">
        <v>5</v>
      </c>
      <c r="K11">
        <v>9</v>
      </c>
    </row>
    <row r="12" spans="1:13" x14ac:dyDescent="0.25">
      <c r="A12">
        <v>4</v>
      </c>
      <c r="B12" t="s">
        <v>75</v>
      </c>
      <c r="C12" t="s">
        <v>75</v>
      </c>
      <c r="D12" s="23" t="s">
        <v>42</v>
      </c>
      <c r="E12" s="2">
        <v>46082</v>
      </c>
      <c r="F12" s="2"/>
      <c r="G12" s="2"/>
      <c r="H12" s="23" t="s">
        <v>38</v>
      </c>
      <c r="I12" s="26">
        <f>SUM(J12:M12)</f>
        <v>1</v>
      </c>
      <c r="J12">
        <v>1</v>
      </c>
      <c r="K12">
        <v>0</v>
      </c>
    </row>
    <row r="13" spans="1:13" x14ac:dyDescent="0.25">
      <c r="D13" s="23"/>
      <c r="E13" s="2"/>
      <c r="F13" s="2"/>
      <c r="G13" s="2"/>
      <c r="H13" s="23"/>
    </row>
    <row r="14" spans="1:13" x14ac:dyDescent="0.25">
      <c r="D14" s="23"/>
      <c r="H14" s="23"/>
    </row>
    <row r="15" spans="1:13" ht="15.75" thickBot="1" x14ac:dyDescent="0.3">
      <c r="A15" s="11" t="s">
        <v>19</v>
      </c>
      <c r="B15" s="8"/>
      <c r="C15" s="8"/>
      <c r="D15" s="8"/>
      <c r="E15" s="8"/>
      <c r="F15" s="8"/>
      <c r="G15" s="8"/>
      <c r="H15" s="8"/>
      <c r="I15" s="13">
        <f>SUM(I9:I14)</f>
        <v>79</v>
      </c>
      <c r="J15" s="13">
        <f>SUM(J8:J12)</f>
        <v>39.5</v>
      </c>
      <c r="K15" s="13">
        <f>SUM(K8:K12)</f>
        <v>39.5</v>
      </c>
      <c r="L15" s="13">
        <f>SUM(L8:L12)</f>
        <v>0</v>
      </c>
    </row>
    <row r="16" spans="1:13" ht="15.75" thickTop="1" x14ac:dyDescent="0.25">
      <c r="I16" s="12"/>
      <c r="J16" s="12"/>
      <c r="K16" s="12"/>
    </row>
    <row r="17" spans="1:12" x14ac:dyDescent="0.25">
      <c r="A17" s="1" t="s">
        <v>20</v>
      </c>
      <c r="I17" s="12"/>
      <c r="J17" s="12"/>
      <c r="K17" s="12"/>
    </row>
    <row r="18" spans="1:12" x14ac:dyDescent="0.25">
      <c r="B18" t="s">
        <v>21</v>
      </c>
      <c r="I18" s="12">
        <f>SUM(J18:K18)</f>
        <v>1</v>
      </c>
      <c r="J18" s="12">
        <v>0.5</v>
      </c>
      <c r="K18" s="12">
        <v>0.5</v>
      </c>
      <c r="L18" s="12"/>
    </row>
    <row r="19" spans="1:12" x14ac:dyDescent="0.25">
      <c r="B19" t="s">
        <v>22</v>
      </c>
      <c r="I19" s="12">
        <f>SUM(J19:K19)</f>
        <v>0</v>
      </c>
      <c r="J19" s="12"/>
      <c r="K19" s="12"/>
    </row>
    <row r="20" spans="1:12" x14ac:dyDescent="0.25">
      <c r="B20" t="s">
        <v>23</v>
      </c>
      <c r="I20" s="12">
        <f>SUM(J20:K20)</f>
        <v>0</v>
      </c>
      <c r="J20" s="12"/>
      <c r="K20" s="12"/>
    </row>
    <row r="21" spans="1:12" x14ac:dyDescent="0.25">
      <c r="B21" t="s">
        <v>24</v>
      </c>
      <c r="I21" s="12">
        <f>SUM(J21:K21)</f>
        <v>0</v>
      </c>
      <c r="J21" s="12"/>
      <c r="K21" s="12"/>
    </row>
    <row r="22" spans="1:12" x14ac:dyDescent="0.25">
      <c r="B22" t="s">
        <v>25</v>
      </c>
      <c r="I22" s="12"/>
      <c r="J22" s="12"/>
      <c r="K22" s="12"/>
    </row>
    <row r="24" spans="1:12" ht="15.75" thickBot="1" x14ac:dyDescent="0.3">
      <c r="A24" s="11" t="s">
        <v>26</v>
      </c>
      <c r="B24" s="8"/>
      <c r="C24" s="8"/>
      <c r="D24" s="8"/>
      <c r="E24" s="8"/>
      <c r="F24" s="8"/>
      <c r="G24" s="8"/>
      <c r="H24" s="8"/>
      <c r="I24" s="13">
        <f>SUM(I18:I23)</f>
        <v>1</v>
      </c>
      <c r="J24" s="13">
        <f t="shared" ref="J24:L24" si="1">SUM(J18:J23)</f>
        <v>0.5</v>
      </c>
      <c r="K24" s="13">
        <f t="shared" si="1"/>
        <v>0.5</v>
      </c>
      <c r="L24" s="13">
        <f t="shared" si="1"/>
        <v>0</v>
      </c>
    </row>
    <row r="25" spans="1:12" ht="15.75" thickTop="1" x14ac:dyDescent="0.25">
      <c r="I25" s="12"/>
      <c r="J25" s="12"/>
      <c r="K25" s="12"/>
    </row>
    <row r="26" spans="1:12" ht="15.75" thickBot="1" x14ac:dyDescent="0.3">
      <c r="A26" s="11" t="s">
        <v>27</v>
      </c>
      <c r="B26" s="8"/>
      <c r="C26" s="8"/>
      <c r="D26" s="8"/>
      <c r="E26" s="8"/>
      <c r="F26" s="8"/>
      <c r="G26" s="8"/>
      <c r="H26" s="8"/>
      <c r="I26" s="13">
        <f>+I24+I15</f>
        <v>80</v>
      </c>
      <c r="J26" s="13">
        <f>+J24+J15</f>
        <v>40</v>
      </c>
      <c r="K26" s="13">
        <f>+K24+K15</f>
        <v>40</v>
      </c>
      <c r="L26" s="13">
        <f>+L24+L15</f>
        <v>0</v>
      </c>
    </row>
    <row r="27" spans="1:12" ht="15.75" thickTop="1" x14ac:dyDescent="0.25"/>
    <row r="29" spans="1:12" ht="15.75" thickBot="1" x14ac:dyDescent="0.3">
      <c r="A29" s="11" t="s">
        <v>28</v>
      </c>
      <c r="B29" s="8"/>
      <c r="C29" s="8"/>
      <c r="D29" s="8"/>
      <c r="E29" s="8"/>
      <c r="F29" s="8"/>
      <c r="G29" s="8"/>
      <c r="H29" s="8"/>
      <c r="I29" s="13"/>
      <c r="J29" s="13">
        <v>40</v>
      </c>
      <c r="K29" s="13">
        <v>40</v>
      </c>
      <c r="L29" s="13">
        <v>40</v>
      </c>
    </row>
    <row r="30" spans="1:12" ht="16.5" thickTop="1" thickBot="1" x14ac:dyDescent="0.3">
      <c r="A30" s="11" t="s">
        <v>29</v>
      </c>
      <c r="B30" s="8"/>
      <c r="C30" s="8"/>
      <c r="D30" s="8"/>
      <c r="E30" s="8"/>
      <c r="F30" s="8"/>
      <c r="G30" s="8"/>
      <c r="H30" s="8"/>
      <c r="I30" s="13"/>
      <c r="J30" s="13">
        <f>+J29-J26</f>
        <v>0</v>
      </c>
      <c r="K30" s="13">
        <f>+K29-K26</f>
        <v>0</v>
      </c>
      <c r="L30" s="13">
        <f>+L29-L26</f>
        <v>40</v>
      </c>
    </row>
    <row r="31" spans="1:12" ht="15.75" thickTop="1" x14ac:dyDescent="0.25"/>
  </sheetData>
  <protectedRanges>
    <protectedRange sqref="A14:C14 E13 A9:A13 G9:H10 F11:H13 A18:XFD23 E14:XFD14 A8:XFD8 M9:XFD13 J13:L13 I9:I13" name="Range1"/>
    <protectedRange sqref="B9:C13" name="Range1_1"/>
    <protectedRange sqref="D9:D14" name="Range1_2"/>
    <protectedRange sqref="E9:F10 E11:E12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Status!$B$14:$B$21</xm:f>
          </x14:formula1>
          <xm:sqref>H9:H14</xm:sqref>
        </x14:dataValidation>
        <x14:dataValidation type="list" allowBlank="1" showInputMessage="1" showErrorMessage="1" xr:uid="{477E9492-0757-4148-ABBB-6EC6E83F516C}">
          <x14:formula1>
            <xm:f>Status!$B$3:$B$10</xm:f>
          </x14:formula1>
          <xm:sqref>D9:D14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1"/>
  <sheetViews>
    <sheetView workbookViewId="0"/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1" t="s">
        <v>39</v>
      </c>
      <c r="C2" s="21" t="s">
        <v>44</v>
      </c>
    </row>
    <row r="3" spans="2:3" x14ac:dyDescent="0.25">
      <c r="B3" s="18" t="s">
        <v>40</v>
      </c>
      <c r="C3" s="19" t="s">
        <v>45</v>
      </c>
    </row>
    <row r="4" spans="2:3" x14ac:dyDescent="0.25">
      <c r="B4" s="18" t="s">
        <v>46</v>
      </c>
      <c r="C4" s="19" t="s">
        <v>47</v>
      </c>
    </row>
    <row r="5" spans="2:3" x14ac:dyDescent="0.25">
      <c r="B5" s="18" t="s">
        <v>48</v>
      </c>
      <c r="C5" s="19" t="s">
        <v>49</v>
      </c>
    </row>
    <row r="6" spans="2:3" x14ac:dyDescent="0.25">
      <c r="B6" s="18" t="s">
        <v>41</v>
      </c>
      <c r="C6" s="19" t="s">
        <v>50</v>
      </c>
    </row>
    <row r="7" spans="2:3" x14ac:dyDescent="0.25">
      <c r="B7" s="18" t="s">
        <v>51</v>
      </c>
      <c r="C7" s="19" t="s">
        <v>52</v>
      </c>
    </row>
    <row r="8" spans="2:3" x14ac:dyDescent="0.25">
      <c r="B8" s="18" t="s">
        <v>42</v>
      </c>
      <c r="C8" s="19" t="s">
        <v>53</v>
      </c>
    </row>
    <row r="9" spans="2:3" x14ac:dyDescent="0.25">
      <c r="B9" s="18" t="s">
        <v>43</v>
      </c>
      <c r="C9" s="19" t="s">
        <v>54</v>
      </c>
    </row>
    <row r="10" spans="2:3" x14ac:dyDescent="0.25">
      <c r="B10" s="18" t="s">
        <v>55</v>
      </c>
      <c r="C10" s="19" t="s">
        <v>56</v>
      </c>
    </row>
    <row r="13" spans="2:3" ht="16.5" x14ac:dyDescent="0.25">
      <c r="B13" s="21" t="s">
        <v>57</v>
      </c>
      <c r="C13" s="21" t="s">
        <v>44</v>
      </c>
    </row>
    <row r="14" spans="2:3" x14ac:dyDescent="0.25">
      <c r="B14" s="20" t="s">
        <v>30</v>
      </c>
      <c r="C14" s="19" t="s">
        <v>58</v>
      </c>
    </row>
    <row r="15" spans="2:3" x14ac:dyDescent="0.25">
      <c r="B15" s="20" t="s">
        <v>59</v>
      </c>
      <c r="C15" s="19" t="s">
        <v>60</v>
      </c>
    </row>
    <row r="16" spans="2:3" x14ac:dyDescent="0.25">
      <c r="B16" s="20" t="s">
        <v>38</v>
      </c>
      <c r="C16" s="19" t="s">
        <v>61</v>
      </c>
    </row>
    <row r="17" spans="2:3" x14ac:dyDescent="0.25">
      <c r="B17" s="20" t="s">
        <v>18</v>
      </c>
      <c r="C17" s="19" t="s">
        <v>62</v>
      </c>
    </row>
    <row r="18" spans="2:3" x14ac:dyDescent="0.25">
      <c r="B18" s="20" t="s">
        <v>31</v>
      </c>
      <c r="C18" s="19" t="s">
        <v>63</v>
      </c>
    </row>
    <row r="19" spans="2:3" x14ac:dyDescent="0.25">
      <c r="B19" s="20" t="s">
        <v>32</v>
      </c>
      <c r="C19" s="19" t="s">
        <v>64</v>
      </c>
    </row>
    <row r="20" spans="2:3" x14ac:dyDescent="0.25">
      <c r="B20" s="20" t="s">
        <v>65</v>
      </c>
      <c r="C20" s="19" t="s">
        <v>66</v>
      </c>
    </row>
    <row r="21" spans="2:3" x14ac:dyDescent="0.25">
      <c r="B21" s="20" t="s">
        <v>37</v>
      </c>
      <c r="C21" s="19" t="s">
        <v>67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5" customFormat="1" ht="16.5" thickBot="1" x14ac:dyDescent="0.3">
      <c r="A1" s="17" t="s">
        <v>33</v>
      </c>
    </row>
    <row r="2" spans="1:1" s="15" customFormat="1" ht="15.75" x14ac:dyDescent="0.25">
      <c r="A2" s="16"/>
    </row>
    <row r="3" spans="1:1" s="15" customFormat="1" ht="15.75" x14ac:dyDescent="0.25">
      <c r="A3" s="14" t="s">
        <v>70</v>
      </c>
    </row>
    <row r="4" spans="1:1" s="15" customFormat="1" ht="15.75" x14ac:dyDescent="0.25">
      <c r="A4" s="16"/>
    </row>
    <row r="5" spans="1:1" s="15" customFormat="1" ht="15.75" x14ac:dyDescent="0.25">
      <c r="A5" s="16"/>
    </row>
    <row r="6" spans="1:1" s="15" customFormat="1" ht="15.75" x14ac:dyDescent="0.25">
      <c r="A6" s="16"/>
    </row>
    <row r="7" spans="1:1" ht="15.75" x14ac:dyDescent="0.25">
      <c r="A7" s="14" t="s">
        <v>34</v>
      </c>
    </row>
    <row r="8" spans="1:1" ht="15.75" x14ac:dyDescent="0.25">
      <c r="A8" s="14" t="s">
        <v>71</v>
      </c>
    </row>
    <row r="9" spans="1:1" ht="15.75" x14ac:dyDescent="0.25">
      <c r="A9" s="14" t="s">
        <v>69</v>
      </c>
    </row>
    <row r="10" spans="1:1" ht="15.75" x14ac:dyDescent="0.25">
      <c r="A10" s="14" t="s">
        <v>35</v>
      </c>
    </row>
    <row r="11" spans="1:1" ht="15.75" x14ac:dyDescent="0.25">
      <c r="A11" s="14" t="s">
        <v>36</v>
      </c>
    </row>
    <row r="12" spans="1:1" ht="15.75" x14ac:dyDescent="0.25">
      <c r="A12" s="14" t="s">
        <v>68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Kaksha Shah</cp:lastModifiedBy>
  <cp:revision/>
  <dcterms:created xsi:type="dcterms:W3CDTF">2015-06-05T18:17:20Z</dcterms:created>
  <dcterms:modified xsi:type="dcterms:W3CDTF">2026-05-01T11:24:07Z</dcterms:modified>
  <cp:category/>
  <cp:contentStatus/>
</cp:coreProperties>
</file>