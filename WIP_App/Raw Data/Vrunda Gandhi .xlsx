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Jainam Appa\"/>
    </mc:Choice>
  </mc:AlternateContent>
  <xr:revisionPtr revIDLastSave="0" documentId="13_ncr:1_{08996A84-F733-4B8B-AF6F-88406B4AB8DD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  <sheet name="Client Lis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K6" i="1"/>
  <c r="I13" i="1"/>
  <c r="I18" i="1"/>
  <c r="A20" i="1"/>
  <c r="A19" i="1"/>
  <c r="I34" i="1"/>
  <c r="I17" i="1"/>
  <c r="I16" i="1"/>
  <c r="I15" i="1"/>
  <c r="I14" i="1"/>
  <c r="K31" i="1"/>
  <c r="K40" i="1"/>
  <c r="I29" i="1"/>
  <c r="I12" i="1"/>
  <c r="I11" i="1"/>
  <c r="A10" i="1"/>
  <c r="A11" i="1" s="1"/>
  <c r="A12" i="1" s="1"/>
  <c r="A13" i="1" s="1"/>
  <c r="A14" i="1" s="1"/>
  <c r="A15" i="1" s="1"/>
  <c r="A16" i="1" s="1"/>
  <c r="A17" i="1" s="1"/>
  <c r="A18" i="1" s="1"/>
  <c r="K42" i="1" l="1"/>
  <c r="K46" i="1" s="1"/>
  <c r="I40" i="1"/>
  <c r="I10" i="1" l="1"/>
  <c r="I31" i="1" l="1"/>
  <c r="J31" i="1"/>
  <c r="J40" i="1"/>
  <c r="J42" i="1" l="1"/>
  <c r="J46" i="1" s="1"/>
  <c r="I42" i="1"/>
</calcChain>
</file>

<file path=xl/sharedStrings.xml><?xml version="1.0" encoding="utf-8"?>
<sst xmlns="http://schemas.openxmlformats.org/spreadsheetml/2006/main" count="149" uniqueCount="113">
  <si>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</si>
  <si>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</si>
  <si>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</si>
  <si>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</si>
  <si>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</si>
  <si>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</si>
  <si>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</si>
  <si>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</si>
  <si>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</si>
  <si>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</si>
  <si>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</si>
  <si>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</si>
  <si>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</si>
  <si>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</si>
  <si>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</si>
  <si>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</si>
  <si>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</si>
  <si>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</si>
  <si>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</si>
  <si>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</si>
  <si>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</si>
  <si>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</si>
  <si>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</si>
  <si>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</si>
  <si>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</si>
  <si>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</si>
  <si>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</si>
  <si>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</si>
  <si>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</si>
  <si>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</si>
  <si>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</si>
  <si>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</si>
  <si>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</si>
  <si>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</si>
  <si>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</si>
  <si>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</si>
  <si>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</si>
  <si>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</si>
  <si>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</si>
  <si>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</si>
  <si>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</si>
  <si>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</si>
  <si>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</si>
  <si>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</si>
  <si>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</si>
  <si>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</si>
  <si>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</si>
  <si>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</si>
  <si>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</si>
  <si>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</si>
  <si>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</si>
  <si>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</si>
  <si>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</si>
  <si>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</si>
  <si>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</si>
  <si>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</si>
  <si>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</si>
  <si>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</si>
  <si>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</si>
  <si>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</si>
  <si>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</si>
  <si>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</si>
  <si>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</si>
  <si>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</si>
  <si>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</si>
  <si>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</si>
  <si>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</si>
  <si>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</si>
  <si>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</si>
  <si>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Meeting and communication with client, poc</t>
  </si>
  <si>
    <t>Vrunda Gandhi</t>
  </si>
  <si>
    <t>Semi Senior</t>
  </si>
  <si>
    <t>Jainam Appa</t>
  </si>
  <si>
    <t>SDA CPA Group, P.C</t>
  </si>
  <si>
    <t>Sr.No</t>
  </si>
  <si>
    <t>Advanced Accounting &amp; Tax Solutions</t>
  </si>
  <si>
    <t>Bearden Stroup &amp; Associates CPAs</t>
  </si>
  <si>
    <t>Bookworks Accounting &amp; Bookkeeping, LLC</t>
  </si>
  <si>
    <t>CAVU Human Capital Management</t>
  </si>
  <si>
    <t>Christy Shepherd Ervin</t>
  </si>
  <si>
    <t>Clarke Public Accounting, Co.</t>
  </si>
  <si>
    <t>Conscious Accounting</t>
  </si>
  <si>
    <t>Convery CPA</t>
  </si>
  <si>
    <t>DPB CPA</t>
  </si>
  <si>
    <t>Gift CPAs, LLC</t>
  </si>
  <si>
    <t>Gracida Homes LLC</t>
  </si>
  <si>
    <t>Hilltop Research</t>
  </si>
  <si>
    <t>HM &amp; M Advisory, LLC A Springline Company</t>
  </si>
  <si>
    <t>Jebran &amp; Abraham PC</t>
  </si>
  <si>
    <t>L&amp;Y Tax Advisors (Jake Lambert)</t>
  </si>
  <si>
    <t>Leung Tax Consulting, Inc.</t>
  </si>
  <si>
    <t>Matthew Mann CPA PLLC</t>
  </si>
  <si>
    <t>Mollica and Yeaman LLC</t>
  </si>
  <si>
    <t>Sharp Income Tax Service, Inc.</t>
  </si>
  <si>
    <t>Springline Advisory LLC</t>
  </si>
  <si>
    <t>SPRLINE CONSULTANCY PRIVATE LIMITED</t>
  </si>
  <si>
    <t>Taxcap Business Services Inc.</t>
  </si>
  <si>
    <t>The Tax Planning Pros</t>
  </si>
  <si>
    <t>Tina Nguyen</t>
  </si>
  <si>
    <t>Total Income Tax LLC</t>
  </si>
  <si>
    <t>VN Florida Homes LLC</t>
  </si>
  <si>
    <t>Warriror Business Services</t>
  </si>
  <si>
    <t>Palma Financial</t>
  </si>
  <si>
    <t>Gurram Tax, LLC</t>
  </si>
  <si>
    <t>Prime 120</t>
  </si>
  <si>
    <t>Week 1</t>
  </si>
  <si>
    <t>G&amp;M</t>
  </si>
  <si>
    <t>Hammocks</t>
  </si>
  <si>
    <t>UTCT</t>
  </si>
  <si>
    <t>Panos Bank Feed</t>
  </si>
  <si>
    <t>Week 2</t>
  </si>
  <si>
    <t>Casablanca</t>
  </si>
  <si>
    <t>Mellow Eagle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</si>
</sst>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0" fontId="8" fillId="0" borderId="3" xfId="0" applyFont="1" applyBorder="1"/>
    <xf numFmtId="0" fontId="9" fillId="0" borderId="3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8568"/>
  <sheetViews>
    <sheetView tabSelected="1" zoomScaleNormal="100" workbookViewId="0">
      <pane xSplit="2" ySplit="7" topLeftCell="D33" activePane="bottomRight" state="frozen"/>
      <selection pane="topRight" activeCell="C1" sqref="C1"/>
      <selection pane="bottomLeft" activeCell="A7" sqref="A7"/>
      <selection pane="bottomRight" activeCell="K42" sqref="K42"/>
    </sheetView>
  </sheetViews>
  <sheetFormatPr defaultRowHeight="15" x14ac:dyDescent="0.25"/>
  <cols>
    <col min="1" max="1" width="24.5703125" bestFit="1" customWidth="1"/>
    <col min="2" max="3" width="25.140625" customWidth="1"/>
    <col min="4" max="4" width="31.85546875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1" width="10.7109375" bestFit="1" customWidth="1"/>
  </cols>
  <sheetData>
    <row r="1" spans="1:11" x14ac:dyDescent="0.25">
      <c r="A1" s="1" t="s">
        <v>0</v>
      </c>
      <c r="H1" s="10"/>
    </row>
    <row r="2" spans="1:11" x14ac:dyDescent="0.25">
      <c r="A2" s="1" t="s">
        <v>1</v>
      </c>
      <c r="B2" s="9" t="s">
        <v>70</v>
      </c>
      <c r="C2" s="9"/>
      <c r="H2" s="1"/>
      <c r="I2" s="1"/>
    </row>
    <row r="3" spans="1:11" x14ac:dyDescent="0.25">
      <c r="A3" s="1" t="s">
        <v>2</v>
      </c>
      <c r="B3" s="9" t="s">
        <v>71</v>
      </c>
      <c r="C3" s="9"/>
      <c r="H3" s="1"/>
      <c r="I3" s="1"/>
    </row>
    <row r="4" spans="1:11" x14ac:dyDescent="0.25">
      <c r="A4" s="1" t="s">
        <v>3</v>
      </c>
      <c r="B4" s="9" t="s">
        <v>72</v>
      </c>
      <c r="C4" s="9"/>
      <c r="H4" s="1"/>
      <c r="I4" s="1"/>
    </row>
    <row r="5" spans="1:11" x14ac:dyDescent="0.25">
      <c r="A5" s="1"/>
      <c r="B5" s="9"/>
      <c r="C5" s="9"/>
    </row>
    <row r="6" spans="1:11" x14ac:dyDescent="0.25">
      <c r="I6" s="7" t="s">
        <v>4</v>
      </c>
      <c r="J6" s="2">
        <v>46146</v>
      </c>
      <c r="K6" s="2">
        <f t="shared" ref="J6:K6" si="0">J6+7</f>
        <v>46153</v>
      </c>
    </row>
    <row r="7" spans="1:11" ht="30" x14ac:dyDescent="0.25">
      <c r="A7" s="3" t="s">
        <v>5</v>
      </c>
      <c r="B7" s="3" t="s">
        <v>6</v>
      </c>
      <c r="C7" s="3" t="s">
        <v>7</v>
      </c>
      <c r="D7" s="22" t="s">
        <v>35</v>
      </c>
      <c r="E7" s="3" t="s">
        <v>8</v>
      </c>
      <c r="F7" s="3" t="s">
        <v>9</v>
      </c>
      <c r="G7" s="3" t="s">
        <v>10</v>
      </c>
      <c r="H7" s="22" t="s">
        <v>11</v>
      </c>
      <c r="I7" s="3" t="s">
        <v>12</v>
      </c>
      <c r="J7" s="3" t="s">
        <v>105</v>
      </c>
      <c r="K7" s="3" t="s">
        <v>110</v>
      </c>
    </row>
    <row r="8" spans="1:11" x14ac:dyDescent="0.25">
      <c r="A8" s="6" t="s">
        <v>13</v>
      </c>
      <c r="B8" s="4"/>
      <c r="C8" s="4"/>
      <c r="D8" s="22"/>
      <c r="E8" s="4"/>
      <c r="F8" s="4"/>
      <c r="G8" s="4"/>
      <c r="H8" s="22"/>
      <c r="I8" s="4"/>
      <c r="J8" s="5"/>
    </row>
    <row r="9" spans="1:11" x14ac:dyDescent="0.25">
      <c r="A9">
        <v>1</v>
      </c>
      <c r="B9" t="s">
        <v>73</v>
      </c>
      <c r="C9" t="s">
        <v>104</v>
      </c>
      <c r="D9" s="23" t="s">
        <v>51</v>
      </c>
      <c r="E9" s="2">
        <v>46146</v>
      </c>
      <c r="F9" s="2"/>
      <c r="G9" s="2"/>
      <c r="H9" s="23" t="s">
        <v>14</v>
      </c>
      <c r="I9" s="12">
        <f t="shared" ref="I9:I12" si="1">SUM(J9:J9)</f>
        <v>12</v>
      </c>
      <c r="J9">
        <v>12</v>
      </c>
    </row>
    <row r="10" spans="1:11" x14ac:dyDescent="0.25">
      <c r="A10">
        <f>+A9+1</f>
        <v>2</v>
      </c>
      <c r="B10" t="s">
        <v>73</v>
      </c>
      <c r="C10" t="s">
        <v>104</v>
      </c>
      <c r="D10" s="23" t="s">
        <v>47</v>
      </c>
      <c r="E10" s="2">
        <v>46146</v>
      </c>
      <c r="F10" s="2"/>
      <c r="G10" s="2"/>
      <c r="H10" s="23" t="s">
        <v>26</v>
      </c>
      <c r="I10" s="12">
        <f t="shared" si="1"/>
        <v>8</v>
      </c>
      <c r="J10">
        <v>8</v>
      </c>
    </row>
    <row r="11" spans="1:11" x14ac:dyDescent="0.25">
      <c r="A11">
        <f t="shared" ref="A11:A15" si="2">+A10+1</f>
        <v>3</v>
      </c>
      <c r="B11" t="s">
        <v>73</v>
      </c>
      <c r="C11" t="s">
        <v>107</v>
      </c>
      <c r="D11" s="23" t="s">
        <v>47</v>
      </c>
      <c r="E11" s="2">
        <v>46146</v>
      </c>
      <c r="G11" s="2"/>
      <c r="H11" s="23" t="s">
        <v>26</v>
      </c>
      <c r="I11" s="12">
        <f t="shared" si="1"/>
        <v>8</v>
      </c>
      <c r="J11">
        <v>8</v>
      </c>
    </row>
    <row r="12" spans="1:11" x14ac:dyDescent="0.25">
      <c r="A12">
        <f t="shared" si="2"/>
        <v>4</v>
      </c>
      <c r="B12" t="s">
        <v>73</v>
      </c>
      <c r="C12" t="s">
        <v>109</v>
      </c>
      <c r="D12" s="23" t="s">
        <v>47</v>
      </c>
      <c r="E12" s="2">
        <v>46146</v>
      </c>
      <c r="F12" s="2"/>
      <c r="G12" s="2"/>
      <c r="H12" s="23" t="s">
        <v>26</v>
      </c>
      <c r="I12" s="12">
        <f t="shared" si="1"/>
        <v>7</v>
      </c>
      <c r="J12">
        <v>7</v>
      </c>
    </row>
    <row r="13" spans="1:11" x14ac:dyDescent="0.25">
      <c r="A13">
        <f t="shared" si="2"/>
        <v>5</v>
      </c>
      <c r="B13" t="s">
        <v>73</v>
      </c>
      <c r="C13" t="s">
        <v>109</v>
      </c>
      <c r="D13" s="23" t="s">
        <v>47</v>
      </c>
      <c r="E13" s="2">
        <v>46153</v>
      </c>
      <c r="G13" s="2"/>
      <c r="H13" s="23" t="s">
        <v>26</v>
      </c>
      <c r="I13" s="12">
        <f>SUM(J13:K13)</f>
        <v>9</v>
      </c>
      <c r="K13">
        <v>9</v>
      </c>
    </row>
    <row r="14" spans="1:11" x14ac:dyDescent="0.25">
      <c r="A14">
        <f t="shared" si="2"/>
        <v>6</v>
      </c>
      <c r="B14" t="s">
        <v>73</v>
      </c>
      <c r="C14" t="s">
        <v>108</v>
      </c>
      <c r="D14" s="23" t="s">
        <v>47</v>
      </c>
      <c r="E14" s="2">
        <v>46153</v>
      </c>
      <c r="F14" s="2"/>
      <c r="G14" s="2"/>
      <c r="H14" s="23" t="s">
        <v>26</v>
      </c>
      <c r="I14" s="12">
        <f>SUM(J14:K14)</f>
        <v>7</v>
      </c>
      <c r="K14">
        <v>7</v>
      </c>
    </row>
    <row r="15" spans="1:11" x14ac:dyDescent="0.25">
      <c r="A15">
        <f t="shared" si="2"/>
        <v>7</v>
      </c>
      <c r="B15" t="s">
        <v>73</v>
      </c>
      <c r="C15" t="s">
        <v>111</v>
      </c>
      <c r="D15" s="23" t="s">
        <v>47</v>
      </c>
      <c r="E15" s="2">
        <v>46153</v>
      </c>
      <c r="F15" s="2"/>
      <c r="G15" s="2"/>
      <c r="H15" s="23" t="s">
        <v>26</v>
      </c>
      <c r="I15" s="12">
        <f>SUM(K15:K15)</f>
        <v>7</v>
      </c>
      <c r="K15">
        <v>7</v>
      </c>
    </row>
    <row r="16" spans="1:11" x14ac:dyDescent="0.25">
      <c r="A16">
        <f t="shared" ref="A16:A20" si="3">+A15+1</f>
        <v>8</v>
      </c>
      <c r="B16" t="s">
        <v>73</v>
      </c>
      <c r="C16" t="s">
        <v>106</v>
      </c>
      <c r="D16" s="23" t="s">
        <v>47</v>
      </c>
      <c r="E16" s="2">
        <v>46153</v>
      </c>
      <c r="F16" s="2"/>
      <c r="G16" s="2"/>
      <c r="H16" s="23" t="s">
        <v>26</v>
      </c>
      <c r="I16" s="12">
        <f>SUM(K16:K16)</f>
        <v>7</v>
      </c>
      <c r="K16">
        <v>7</v>
      </c>
    </row>
    <row r="17" spans="1:11" x14ac:dyDescent="0.25">
      <c r="A17">
        <f t="shared" si="3"/>
        <v>9</v>
      </c>
      <c r="B17" t="s">
        <v>73</v>
      </c>
      <c r="C17" t="s">
        <v>112</v>
      </c>
      <c r="D17" s="23" t="s">
        <v>47</v>
      </c>
      <c r="E17" s="2">
        <v>46153</v>
      </c>
      <c r="F17" s="2"/>
      <c r="G17" s="2"/>
      <c r="H17" s="23" t="s">
        <v>26</v>
      </c>
      <c r="I17" s="12">
        <f>SUM(K17:K17)</f>
        <v>5</v>
      </c>
      <c r="K17">
        <v>5</v>
      </c>
    </row>
    <row r="18" spans="1:11" x14ac:dyDescent="0.25">
      <c r="A18">
        <f t="shared" si="3"/>
        <v>10</v>
      </c>
      <c r="B18" t="s">
        <v>73</v>
      </c>
      <c r="D18" s="23"/>
      <c r="E18" s="2"/>
      <c r="F18" s="2"/>
      <c r="G18" s="2"/>
      <c r="H18" s="23" t="s">
        <v>26</v>
      </c>
      <c r="I18" s="12">
        <f>SUM(K18:K18)</f>
        <v>0</v>
      </c>
    </row>
    <row r="19" spans="1:11" x14ac:dyDescent="0.25">
      <c r="A19">
        <f t="shared" si="3"/>
        <v>11</v>
      </c>
      <c r="B19" t="s">
        <v>73</v>
      </c>
      <c r="D19" s="23"/>
      <c r="E19" s="2"/>
      <c r="F19" s="2"/>
      <c r="G19" s="2"/>
      <c r="H19" s="23"/>
      <c r="I19" s="12"/>
    </row>
    <row r="20" spans="1:11" x14ac:dyDescent="0.25">
      <c r="A20">
        <f t="shared" si="3"/>
        <v>12</v>
      </c>
      <c r="B20" t="s">
        <v>73</v>
      </c>
      <c r="D20" s="23"/>
      <c r="E20" s="2"/>
      <c r="F20" s="2"/>
      <c r="G20" s="2"/>
      <c r="H20" s="23"/>
      <c r="I20" s="12"/>
    </row>
    <row r="21" spans="1:11" x14ac:dyDescent="0.25">
      <c r="D21" s="23"/>
      <c r="E21" s="2"/>
      <c r="F21" s="2"/>
      <c r="G21" s="2"/>
      <c r="H21" s="23"/>
      <c r="I21" s="12"/>
    </row>
    <row r="22" spans="1:11" x14ac:dyDescent="0.25">
      <c r="D22" s="23"/>
      <c r="E22" s="2"/>
      <c r="F22" s="2"/>
      <c r="G22" s="2"/>
      <c r="H22" s="23"/>
      <c r="I22" s="12"/>
    </row>
    <row r="23" spans="1:11" x14ac:dyDescent="0.25">
      <c r="D23" s="23"/>
      <c r="E23" s="2"/>
      <c r="F23" s="2"/>
      <c r="G23" s="2"/>
      <c r="H23" s="23"/>
      <c r="I23" s="12"/>
    </row>
    <row r="24" spans="1:11" x14ac:dyDescent="0.25">
      <c r="D24" s="23"/>
      <c r="E24" s="2"/>
      <c r="F24" s="2"/>
      <c r="G24" s="2"/>
      <c r="H24" s="23"/>
      <c r="I24" s="12"/>
    </row>
    <row r="25" spans="1:11" x14ac:dyDescent="0.25">
      <c r="D25" s="23"/>
      <c r="E25" s="2"/>
      <c r="F25" s="2"/>
      <c r="G25" s="2"/>
      <c r="H25" s="23"/>
      <c r="I25" s="12"/>
    </row>
    <row r="26" spans="1:11" x14ac:dyDescent="0.25">
      <c r="D26" s="23"/>
      <c r="E26" s="2"/>
      <c r="F26" s="2"/>
      <c r="G26" s="2"/>
      <c r="H26" s="23"/>
      <c r="I26" s="12"/>
    </row>
    <row r="27" spans="1:11" x14ac:dyDescent="0.25">
      <c r="D27" s="23"/>
      <c r="E27" s="2"/>
      <c r="F27" s="2"/>
      <c r="G27" s="2"/>
      <c r="H27" s="23"/>
      <c r="I27" s="12"/>
    </row>
    <row r="28" spans="1:11" x14ac:dyDescent="0.25">
      <c r="D28" s="23"/>
      <c r="E28" s="2"/>
      <c r="F28" s="2"/>
      <c r="G28" s="2"/>
      <c r="H28" s="23"/>
      <c r="I28" s="12"/>
    </row>
    <row r="29" spans="1:11" x14ac:dyDescent="0.25">
      <c r="D29" s="23"/>
      <c r="E29" s="2"/>
      <c r="F29" s="2"/>
      <c r="G29" s="2"/>
      <c r="H29" s="23"/>
      <c r="I29" s="12">
        <f>SUM(J29:J29)</f>
        <v>0</v>
      </c>
    </row>
    <row r="30" spans="1:11" x14ac:dyDescent="0.25">
      <c r="D30" s="23"/>
      <c r="H30" s="23"/>
    </row>
    <row r="31" spans="1:11" ht="15.75" thickBot="1" x14ac:dyDescent="0.3">
      <c r="A31" s="11" t="s">
        <v>15</v>
      </c>
      <c r="B31" s="8"/>
      <c r="C31" s="8"/>
      <c r="D31" s="8"/>
      <c r="E31" s="8"/>
      <c r="F31" s="8"/>
      <c r="G31" s="8"/>
      <c r="H31" s="8"/>
      <c r="I31" s="13">
        <f>SUM(I8:I30)</f>
        <v>70</v>
      </c>
      <c r="J31" s="13">
        <f>SUM(J8:J30)</f>
        <v>35</v>
      </c>
      <c r="K31" s="13">
        <f>SUM(K8:K30)</f>
        <v>35</v>
      </c>
    </row>
    <row r="32" spans="1:11" ht="15.75" thickTop="1" x14ac:dyDescent="0.25">
      <c r="I32" s="12"/>
      <c r="J32" s="12"/>
      <c r="K32" s="12"/>
    </row>
    <row r="33" spans="1:11" x14ac:dyDescent="0.25">
      <c r="A33" s="1" t="s">
        <v>16</v>
      </c>
      <c r="I33" s="12"/>
      <c r="J33" s="12"/>
      <c r="K33" s="12"/>
    </row>
    <row r="34" spans="1:11" x14ac:dyDescent="0.25">
      <c r="B34" t="s">
        <v>17</v>
      </c>
      <c r="I34" s="12">
        <f>SUM(J34:K34)</f>
        <v>10</v>
      </c>
      <c r="J34" s="12">
        <v>5</v>
      </c>
      <c r="K34" s="12">
        <v>5</v>
      </c>
    </row>
    <row r="35" spans="1:11" x14ac:dyDescent="0.25">
      <c r="B35" t="s">
        <v>18</v>
      </c>
      <c r="I35" s="12"/>
      <c r="J35" s="12"/>
      <c r="K35" s="12"/>
    </row>
    <row r="36" spans="1:11" x14ac:dyDescent="0.25">
      <c r="B36" t="s">
        <v>19</v>
      </c>
      <c r="I36" s="12"/>
      <c r="J36" s="12"/>
      <c r="K36" s="12"/>
    </row>
    <row r="37" spans="1:11" x14ac:dyDescent="0.25">
      <c r="B37" t="s">
        <v>20</v>
      </c>
      <c r="I37" s="12"/>
      <c r="J37" s="12"/>
      <c r="K37" s="12"/>
    </row>
    <row r="38" spans="1:11" x14ac:dyDescent="0.25">
      <c r="B38" t="s">
        <v>21</v>
      </c>
      <c r="I38" s="12"/>
      <c r="J38" s="12">
        <v>0</v>
      </c>
      <c r="K38" s="12">
        <v>0</v>
      </c>
    </row>
    <row r="40" spans="1:11" ht="15.75" thickBot="1" x14ac:dyDescent="0.3">
      <c r="A40" s="11" t="s">
        <v>22</v>
      </c>
      <c r="B40" s="8"/>
      <c r="C40" s="8"/>
      <c r="D40" s="8"/>
      <c r="E40" s="8"/>
      <c r="F40" s="8"/>
      <c r="G40" s="8"/>
      <c r="H40" s="8"/>
      <c r="I40" s="13">
        <f>SUM(I34:I39)</f>
        <v>10</v>
      </c>
      <c r="J40" s="13">
        <f t="shared" ref="J40" si="4">SUM(J34:J39)</f>
        <v>5</v>
      </c>
      <c r="K40" s="13">
        <f t="shared" ref="K40" si="5">SUM(K34:K39)</f>
        <v>5</v>
      </c>
    </row>
    <row r="41" spans="1:11" ht="15.75" thickTop="1" x14ac:dyDescent="0.25">
      <c r="I41" s="12"/>
      <c r="J41" s="12"/>
      <c r="K41" s="12"/>
    </row>
    <row r="42" spans="1:11" ht="15.75" thickBot="1" x14ac:dyDescent="0.3">
      <c r="A42" s="11" t="s">
        <v>23</v>
      </c>
      <c r="B42" s="8"/>
      <c r="C42" s="8"/>
      <c r="D42" s="8"/>
      <c r="E42" s="8"/>
      <c r="F42" s="8"/>
      <c r="G42" s="8"/>
      <c r="H42" s="8"/>
      <c r="I42" s="13">
        <f>+I40+I31</f>
        <v>80</v>
      </c>
      <c r="J42" s="13">
        <f t="shared" ref="J42" si="6">+J40+J31</f>
        <v>40</v>
      </c>
      <c r="K42" s="13">
        <f t="shared" ref="K42" si="7">+K40+K31</f>
        <v>40</v>
      </c>
    </row>
    <row r="43" spans="1:11" ht="15.75" thickTop="1" x14ac:dyDescent="0.25"/>
    <row r="45" spans="1:11" ht="15.75" thickBot="1" x14ac:dyDescent="0.3">
      <c r="A45" s="11" t="s">
        <v>24</v>
      </c>
      <c r="B45" s="8"/>
      <c r="C45" s="8"/>
      <c r="D45" s="8"/>
      <c r="E45" s="8"/>
      <c r="F45" s="8"/>
      <c r="G45" s="8"/>
      <c r="H45" s="8"/>
      <c r="I45" s="13"/>
      <c r="J45" s="13">
        <v>40</v>
      </c>
      <c r="K45" s="13">
        <v>40</v>
      </c>
    </row>
    <row r="46" spans="1:11" ht="16.5" thickTop="1" thickBot="1" x14ac:dyDescent="0.3">
      <c r="A46" s="11" t="s">
        <v>25</v>
      </c>
      <c r="B46" s="8"/>
      <c r="C46" s="8"/>
      <c r="D46" s="8"/>
      <c r="E46" s="8"/>
      <c r="F46" s="8"/>
      <c r="G46" s="8"/>
      <c r="H46" s="8"/>
      <c r="I46" s="13"/>
      <c r="J46" s="13">
        <f t="shared" ref="J46:K46" si="8">+J45-J42</f>
        <v>0</v>
      </c>
      <c r="K46" s="13">
        <f t="shared" si="8"/>
        <v>0</v>
      </c>
    </row>
    <row r="47" spans="1:11" ht="15.75" thickTop="1" x14ac:dyDescent="0.25"/>
    <row r="1048568" spans="4:4" x14ac:dyDescent="0.25">
      <c r="D1048568" s="23"/>
    </row>
  </sheetData>
  <protectedRanges>
    <protectedRange sqref="E30:F30 B30:C30 F11:F29 A8:XFD8 A9:A30 C25:C29 C23 K15:K18 L9:XFD30 J9:K14 J19:K30 C19 C14:C16 A34:XFD39 C11 G9:I30" name="Range1"/>
    <protectedRange sqref="C21" name="Range1_1"/>
    <protectedRange sqref="D1048568:D1048576 D9:D30" name="Range1_2"/>
    <protectedRange sqref="F9:F10 E9:E29" name="Range1_3"/>
    <protectedRange sqref="B9:B29" name="Range1_1_1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7E9492-0757-4148-ABBB-6EC6E83F516C}">
          <x14:formula1>
            <xm:f>Status!$B$3:$B$11</xm:f>
          </x14:formula1>
          <xm:sqref>D1048568:D1048576 D9:D30</xm:sqref>
        </x14:dataValidation>
        <x14:dataValidation type="list" allowBlank="1" showInputMessage="1" showErrorMessage="1" xr:uid="{74BA8BDB-53D6-49C3-ABCC-E46D7EAA39F8}">
          <x14:formula1>
            <xm:f>Status!$B$15:$B$22</xm:f>
          </x14:formula1>
          <xm:sqref>H9:H30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workbookViewId="0">
      <selection activeCell="C7" sqref="C7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1" t="s">
        <v>35</v>
      </c>
      <c r="C2" s="21" t="s">
        <v>40</v>
      </c>
    </row>
    <row r="3" spans="2:3" x14ac:dyDescent="0.25">
      <c r="B3" s="18" t="s">
        <v>36</v>
      </c>
      <c r="C3" s="19" t="s">
        <v>41</v>
      </c>
    </row>
    <row r="4" spans="2:3" x14ac:dyDescent="0.25">
      <c r="B4" s="18" t="s">
        <v>42</v>
      </c>
      <c r="C4" s="19" t="s">
        <v>43</v>
      </c>
    </row>
    <row r="5" spans="2:3" x14ac:dyDescent="0.25">
      <c r="B5" s="18" t="s">
        <v>44</v>
      </c>
      <c r="C5" s="19" t="s">
        <v>45</v>
      </c>
    </row>
    <row r="6" spans="2:3" x14ac:dyDescent="0.25">
      <c r="B6" s="18" t="s">
        <v>37</v>
      </c>
      <c r="C6" s="19" t="s">
        <v>46</v>
      </c>
    </row>
    <row r="7" spans="2:3" x14ac:dyDescent="0.25">
      <c r="B7" s="18" t="s">
        <v>68</v>
      </c>
      <c r="C7" s="19" t="s">
        <v>69</v>
      </c>
    </row>
    <row r="8" spans="2:3" x14ac:dyDescent="0.25">
      <c r="B8" s="18" t="s">
        <v>47</v>
      </c>
      <c r="C8" s="19" t="s">
        <v>48</v>
      </c>
    </row>
    <row r="9" spans="2:3" x14ac:dyDescent="0.25">
      <c r="B9" s="18" t="s">
        <v>38</v>
      </c>
      <c r="C9" s="19" t="s">
        <v>49</v>
      </c>
    </row>
    <row r="10" spans="2:3" x14ac:dyDescent="0.25">
      <c r="B10" s="18" t="s">
        <v>39</v>
      </c>
      <c r="C10" s="19" t="s">
        <v>50</v>
      </c>
    </row>
    <row r="11" spans="2:3" x14ac:dyDescent="0.25">
      <c r="B11" s="18" t="s">
        <v>51</v>
      </c>
      <c r="C11" s="19" t="s">
        <v>52</v>
      </c>
    </row>
    <row r="14" spans="2:3" ht="16.5" x14ac:dyDescent="0.25">
      <c r="B14" s="21" t="s">
        <v>53</v>
      </c>
      <c r="C14" s="21" t="s">
        <v>40</v>
      </c>
    </row>
    <row r="15" spans="2:3" x14ac:dyDescent="0.25">
      <c r="B15" s="20" t="s">
        <v>26</v>
      </c>
      <c r="C15" s="19" t="s">
        <v>54</v>
      </c>
    </row>
    <row r="16" spans="2:3" x14ac:dyDescent="0.25">
      <c r="B16" s="20" t="s">
        <v>55</v>
      </c>
      <c r="C16" s="19" t="s">
        <v>56</v>
      </c>
    </row>
    <row r="17" spans="2:3" x14ac:dyDescent="0.25">
      <c r="B17" s="20" t="s">
        <v>34</v>
      </c>
      <c r="C17" s="19" t="s">
        <v>57</v>
      </c>
    </row>
    <row r="18" spans="2:3" x14ac:dyDescent="0.25">
      <c r="B18" s="20" t="s">
        <v>14</v>
      </c>
      <c r="C18" s="19" t="s">
        <v>58</v>
      </c>
    </row>
    <row r="19" spans="2:3" x14ac:dyDescent="0.25">
      <c r="B19" s="20" t="s">
        <v>27</v>
      </c>
      <c r="C19" s="19" t="s">
        <v>59</v>
      </c>
    </row>
    <row r="20" spans="2:3" x14ac:dyDescent="0.25">
      <c r="B20" s="20" t="s">
        <v>28</v>
      </c>
      <c r="C20" s="19" t="s">
        <v>60</v>
      </c>
    </row>
    <row r="21" spans="2:3" x14ac:dyDescent="0.25">
      <c r="B21" s="20" t="s">
        <v>61</v>
      </c>
      <c r="C21" s="19" t="s">
        <v>62</v>
      </c>
    </row>
    <row r="22" spans="2:3" x14ac:dyDescent="0.25">
      <c r="B22" s="20" t="s">
        <v>33</v>
      </c>
      <c r="C22" s="19" t="s">
        <v>63</v>
      </c>
    </row>
  </sheetData>
  <dataValidations count="1">
    <dataValidation type="list" allowBlank="1" showInputMessage="1" showErrorMessage="1" sqref="D5" xr:uid="{C3522EB4-A780-4446-9BCB-37941B8DED5A}">
      <formula1>$B$3:$B$11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9" sqref="A9"/>
    </sheetView>
  </sheetViews>
  <sheetFormatPr defaultRowHeight="15" x14ac:dyDescent="0.25"/>
  <cols>
    <col min="1" max="1" width="124.28515625" bestFit="1" customWidth="1"/>
  </cols>
  <sheetData>
    <row r="1" spans="1:1" s="15" customFormat="1" ht="16.5" thickBot="1" x14ac:dyDescent="0.3">
      <c r="A1" s="17" t="s">
        <v>29</v>
      </c>
    </row>
    <row r="2" spans="1:1" s="15" customFormat="1" ht="15.75" x14ac:dyDescent="0.25">
      <c r="A2" s="16"/>
    </row>
    <row r="3" spans="1:1" s="15" customFormat="1" ht="15.75" x14ac:dyDescent="0.25">
      <c r="A3" s="14" t="s">
        <v>66</v>
      </c>
    </row>
    <row r="4" spans="1:1" s="15" customFormat="1" ht="15.75" x14ac:dyDescent="0.25">
      <c r="A4" s="16"/>
    </row>
    <row r="5" spans="1:1" s="15" customFormat="1" ht="15.75" x14ac:dyDescent="0.25">
      <c r="A5" s="16"/>
    </row>
    <row r="6" spans="1:1" s="15" customFormat="1" ht="15.75" x14ac:dyDescent="0.25">
      <c r="A6" s="16"/>
    </row>
    <row r="7" spans="1:1" ht="15.75" x14ac:dyDescent="0.25">
      <c r="A7" s="14" t="s">
        <v>30</v>
      </c>
    </row>
    <row r="8" spans="1:1" ht="15.75" x14ac:dyDescent="0.25">
      <c r="A8" s="14" t="s">
        <v>67</v>
      </c>
    </row>
    <row r="9" spans="1:1" ht="15.75" x14ac:dyDescent="0.25">
      <c r="A9" s="14" t="s">
        <v>65</v>
      </c>
    </row>
    <row r="10" spans="1:1" ht="15.75" x14ac:dyDescent="0.25">
      <c r="A10" s="14" t="s">
        <v>31</v>
      </c>
    </row>
    <row r="11" spans="1:1" ht="15.75" x14ac:dyDescent="0.25">
      <c r="A11" s="14" t="s">
        <v>32</v>
      </c>
    </row>
    <row r="12" spans="1:1" ht="15.75" x14ac:dyDescent="0.25">
      <c r="A12" s="14" t="s">
        <v>64</v>
      </c>
    </row>
    <row r="14" spans="1:1" x14ac:dyDescent="0.25">
      <c r="A14" s="24"/>
    </row>
    <row r="15" spans="1:1" x14ac:dyDescent="0.25">
      <c r="A15" s="24"/>
    </row>
    <row r="16" spans="1:1" x14ac:dyDescent="0.25">
      <c r="A16" s="2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CBC9A-37B9-4974-AC0E-74B73E4EE88E}">
  <dimension ref="A1:B31"/>
  <sheetViews>
    <sheetView topLeftCell="A9" workbookViewId="0">
      <selection activeCell="B20" sqref="B20"/>
    </sheetView>
  </sheetViews>
  <sheetFormatPr defaultRowHeight="15" x14ac:dyDescent="0.25"/>
  <cols>
    <col min="1" max="1" width="6" bestFit="1" customWidth="1"/>
    <col min="2" max="2" width="39.85546875" bestFit="1" customWidth="1"/>
  </cols>
  <sheetData>
    <row r="1" spans="1:2" x14ac:dyDescent="0.25">
      <c r="A1" s="25" t="s">
        <v>74</v>
      </c>
      <c r="B1" s="25" t="s">
        <v>6</v>
      </c>
    </row>
    <row r="2" spans="1:2" x14ac:dyDescent="0.25">
      <c r="A2" s="25">
        <v>1</v>
      </c>
      <c r="B2" s="26" t="s">
        <v>75</v>
      </c>
    </row>
    <row r="3" spans="1:2" x14ac:dyDescent="0.25">
      <c r="A3" s="25">
        <v>2</v>
      </c>
      <c r="B3" s="26" t="s">
        <v>76</v>
      </c>
    </row>
    <row r="4" spans="1:2" x14ac:dyDescent="0.25">
      <c r="A4" s="25">
        <v>3</v>
      </c>
      <c r="B4" s="26" t="s">
        <v>77</v>
      </c>
    </row>
    <row r="5" spans="1:2" x14ac:dyDescent="0.25">
      <c r="A5" s="25">
        <v>4</v>
      </c>
      <c r="B5" s="26" t="s">
        <v>78</v>
      </c>
    </row>
    <row r="6" spans="1:2" x14ac:dyDescent="0.25">
      <c r="A6" s="25">
        <v>5</v>
      </c>
      <c r="B6" s="26" t="s">
        <v>79</v>
      </c>
    </row>
    <row r="7" spans="1:2" x14ac:dyDescent="0.25">
      <c r="A7" s="25">
        <v>6</v>
      </c>
      <c r="B7" s="26" t="s">
        <v>80</v>
      </c>
    </row>
    <row r="8" spans="1:2" x14ac:dyDescent="0.25">
      <c r="A8" s="25">
        <v>7</v>
      </c>
      <c r="B8" s="26" t="s">
        <v>81</v>
      </c>
    </row>
    <row r="9" spans="1:2" x14ac:dyDescent="0.25">
      <c r="A9" s="25">
        <v>8</v>
      </c>
      <c r="B9" s="26" t="s">
        <v>82</v>
      </c>
    </row>
    <row r="10" spans="1:2" x14ac:dyDescent="0.25">
      <c r="A10" s="25">
        <v>9</v>
      </c>
      <c r="B10" s="26" t="s">
        <v>83</v>
      </c>
    </row>
    <row r="11" spans="1:2" x14ac:dyDescent="0.25">
      <c r="A11" s="25">
        <v>10</v>
      </c>
      <c r="B11" s="26" t="s">
        <v>84</v>
      </c>
    </row>
    <row r="12" spans="1:2" x14ac:dyDescent="0.25">
      <c r="A12" s="25">
        <v>11</v>
      </c>
      <c r="B12" s="26" t="s">
        <v>85</v>
      </c>
    </row>
    <row r="13" spans="1:2" x14ac:dyDescent="0.25">
      <c r="A13" s="25">
        <v>12</v>
      </c>
      <c r="B13" s="26" t="s">
        <v>86</v>
      </c>
    </row>
    <row r="14" spans="1:2" x14ac:dyDescent="0.25">
      <c r="A14" s="25">
        <v>13</v>
      </c>
      <c r="B14" s="26" t="s">
        <v>87</v>
      </c>
    </row>
    <row r="15" spans="1:2" x14ac:dyDescent="0.25">
      <c r="A15" s="25">
        <v>14</v>
      </c>
      <c r="B15" s="26" t="s">
        <v>88</v>
      </c>
    </row>
    <row r="16" spans="1:2" x14ac:dyDescent="0.25">
      <c r="A16" s="25">
        <v>15</v>
      </c>
      <c r="B16" s="26" t="s">
        <v>89</v>
      </c>
    </row>
    <row r="17" spans="1:2" x14ac:dyDescent="0.25">
      <c r="A17" s="25">
        <v>16</v>
      </c>
      <c r="B17" s="26" t="s">
        <v>90</v>
      </c>
    </row>
    <row r="18" spans="1:2" x14ac:dyDescent="0.25">
      <c r="A18" s="25">
        <v>17</v>
      </c>
      <c r="B18" s="26" t="s">
        <v>91</v>
      </c>
    </row>
    <row r="19" spans="1:2" x14ac:dyDescent="0.25">
      <c r="A19" s="25">
        <v>18</v>
      </c>
      <c r="B19" s="26" t="s">
        <v>92</v>
      </c>
    </row>
    <row r="20" spans="1:2" x14ac:dyDescent="0.25">
      <c r="A20" s="25">
        <v>19</v>
      </c>
      <c r="B20" s="26" t="s">
        <v>73</v>
      </c>
    </row>
    <row r="21" spans="1:2" x14ac:dyDescent="0.25">
      <c r="A21" s="25">
        <v>20</v>
      </c>
      <c r="B21" s="26" t="s">
        <v>93</v>
      </c>
    </row>
    <row r="22" spans="1:2" x14ac:dyDescent="0.25">
      <c r="A22" s="25">
        <v>21</v>
      </c>
      <c r="B22" s="26" t="s">
        <v>94</v>
      </c>
    </row>
    <row r="23" spans="1:2" x14ac:dyDescent="0.25">
      <c r="A23" s="25">
        <v>22</v>
      </c>
      <c r="B23" s="26" t="s">
        <v>95</v>
      </c>
    </row>
    <row r="24" spans="1:2" x14ac:dyDescent="0.25">
      <c r="A24" s="25">
        <v>23</v>
      </c>
      <c r="B24" s="26" t="s">
        <v>96</v>
      </c>
    </row>
    <row r="25" spans="1:2" x14ac:dyDescent="0.25">
      <c r="A25" s="25">
        <v>24</v>
      </c>
      <c r="B25" s="26" t="s">
        <v>97</v>
      </c>
    </row>
    <row r="26" spans="1:2" x14ac:dyDescent="0.25">
      <c r="A26" s="25">
        <v>25</v>
      </c>
      <c r="B26" s="26" t="s">
        <v>98</v>
      </c>
    </row>
    <row r="27" spans="1:2" x14ac:dyDescent="0.25">
      <c r="A27" s="25">
        <v>26</v>
      </c>
      <c r="B27" s="26" t="s">
        <v>99</v>
      </c>
    </row>
    <row r="28" spans="1:2" x14ac:dyDescent="0.25">
      <c r="A28" s="25">
        <v>27</v>
      </c>
      <c r="B28" s="26" t="s">
        <v>100</v>
      </c>
    </row>
    <row r="29" spans="1:2" x14ac:dyDescent="0.25">
      <c r="A29" s="25">
        <v>28</v>
      </c>
      <c r="B29" s="26" t="s">
        <v>101</v>
      </c>
    </row>
    <row r="30" spans="1:2" x14ac:dyDescent="0.25">
      <c r="A30" s="25">
        <v>29</v>
      </c>
      <c r="B30" s="26" t="s">
        <v>102</v>
      </c>
    </row>
    <row r="31" spans="1:2" x14ac:dyDescent="0.25">
      <c r="A31" s="25">
        <v>30</v>
      </c>
      <c r="B31" s="26" t="s">
        <v>103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WIP</vt:lpstr>
      <vt:lpstr>Status</vt:lpstr>
      <vt:lpstr>Instruction</vt:lpstr>
      <vt:lpstr>Client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Vrunda Gandhi</cp:lastModifiedBy>
  <cp:revision/>
  <dcterms:created xsi:type="dcterms:W3CDTF">2015-06-05T18:17:20Z</dcterms:created>
  <dcterms:modified xsi:type="dcterms:W3CDTF">2026-05-01T12:20:20Z</dcterms:modified>
  <cp:category/>
  <cp:contentStatus/>
</cp:coreProperties>
</file>